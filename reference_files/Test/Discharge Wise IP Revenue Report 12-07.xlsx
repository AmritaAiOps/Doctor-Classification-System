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1730" activeTab="1"/>
  </bookViews>
  <sheets>
    <sheet name="Daily MIS" sheetId="1" r:id="rId1"/>
    <sheet name="June" sheetId="5" r:id="rId2"/>
    <sheet name="Main July" sheetId="27" r:id="rId3"/>
    <sheet name="July 12" sheetId="34" r:id="rId4"/>
    <sheet name="July 7" sheetId="32" r:id="rId5"/>
    <sheet name="July 6" sheetId="31" r:id="rId6"/>
    <sheet name="July 5" sheetId="30" r:id="rId7"/>
    <sheet name="July 2" sheetId="28" r:id="rId8"/>
    <sheet name="July 10" sheetId="33" r:id="rId9"/>
  </sheets>
  <externalReferences>
    <externalReference r:id="rId10"/>
  </externalReferenc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3" i="34" l="1"/>
  <c r="H48" i="34"/>
  <c r="H57" i="34" s="1"/>
  <c r="H63" i="34" s="1"/>
  <c r="H39" i="34"/>
  <c r="H34" i="34"/>
  <c r="H22" i="34"/>
  <c r="H11" i="34"/>
  <c r="H6" i="34"/>
  <c r="J77" i="27"/>
  <c r="K76" i="27"/>
  <c r="K74" i="27"/>
  <c r="J67" i="27" l="1"/>
  <c r="J10" i="27"/>
  <c r="K9" i="27"/>
  <c r="K54" i="27"/>
  <c r="K59" i="27"/>
  <c r="K13" i="27"/>
  <c r="K14" i="27"/>
  <c r="J15" i="27" l="1"/>
  <c r="K20" i="27"/>
  <c r="K19" i="27"/>
  <c r="K33" i="27"/>
  <c r="J26" i="27"/>
  <c r="K31" i="27"/>
  <c r="K30" i="27"/>
  <c r="J61" i="27"/>
  <c r="J52" i="27"/>
  <c r="J43" i="27"/>
  <c r="J38" i="27"/>
  <c r="K55" i="27"/>
  <c r="K53" i="27"/>
  <c r="K49" i="27"/>
  <c r="K48" i="27"/>
  <c r="K42" i="27"/>
  <c r="K41" i="27"/>
  <c r="K37" i="27"/>
  <c r="K36" i="27"/>
  <c r="J22" i="33" l="1"/>
  <c r="K54" i="33"/>
  <c r="K48" i="33"/>
  <c r="J48" i="33"/>
  <c r="J54" i="33"/>
  <c r="K39" i="33"/>
  <c r="K34" i="33"/>
  <c r="J34" i="33"/>
  <c r="J39" i="33" l="1"/>
  <c r="K8" i="27"/>
  <c r="K10" i="27"/>
  <c r="K16" i="27"/>
  <c r="K17" i="27"/>
  <c r="K18" i="27"/>
  <c r="K22" i="27"/>
  <c r="K23" i="27"/>
  <c r="K24" i="27"/>
  <c r="K27" i="27"/>
  <c r="K28" i="27"/>
  <c r="K29" i="27"/>
  <c r="K56" i="27"/>
  <c r="K60" i="27"/>
  <c r="K64" i="27"/>
  <c r="K71" i="27"/>
  <c r="K72" i="27"/>
  <c r="K73" i="27"/>
  <c r="K75" i="27"/>
  <c r="L75" i="27" l="1"/>
  <c r="L76" i="27"/>
  <c r="L74" i="27"/>
  <c r="L49" i="27"/>
  <c r="L48" i="27"/>
  <c r="L42" i="27"/>
  <c r="L41" i="27"/>
  <c r="L37" i="27"/>
  <c r="L36" i="27"/>
  <c r="L31" i="27"/>
  <c r="L30" i="27"/>
  <c r="L29" i="27"/>
  <c r="L24" i="27"/>
  <c r="L23" i="27"/>
  <c r="L16" i="27"/>
  <c r="L14" i="27"/>
  <c r="L13" i="27"/>
  <c r="L9" i="27"/>
  <c r="L8" i="27"/>
  <c r="L73" i="27"/>
  <c r="L72" i="27"/>
  <c r="L71" i="27"/>
  <c r="L64" i="27"/>
  <c r="L59" i="27"/>
  <c r="L56" i="27"/>
  <c r="L55" i="27"/>
  <c r="L54" i="27"/>
  <c r="L53" i="27"/>
  <c r="L33" i="27"/>
  <c r="L28" i="27"/>
  <c r="L27" i="27"/>
  <c r="L22" i="27"/>
  <c r="L20" i="27"/>
  <c r="L19" i="27"/>
  <c r="L18" i="27"/>
  <c r="L17" i="27"/>
  <c r="I77" i="27"/>
  <c r="I10" i="27" l="1"/>
  <c r="I26" i="27" l="1"/>
  <c r="I15" i="27"/>
  <c r="I52" i="27" l="1"/>
  <c r="I58" i="27"/>
  <c r="I38" i="27"/>
  <c r="I43" i="27"/>
  <c r="I61" i="27" l="1"/>
  <c r="I67" i="27" s="1"/>
  <c r="H77" i="27"/>
  <c r="H26" i="27" l="1"/>
  <c r="H10" i="27" l="1"/>
  <c r="H15" i="27"/>
  <c r="H58" i="27" l="1"/>
  <c r="H52" i="27"/>
  <c r="H43" i="27"/>
  <c r="H38" i="27"/>
  <c r="H61" i="27" l="1"/>
  <c r="H67" i="27" s="1"/>
  <c r="G77" i="27"/>
  <c r="F77" i="27" l="1"/>
  <c r="E77" i="27" l="1"/>
  <c r="D77" i="27"/>
  <c r="C77" i="27"/>
  <c r="K77" i="27" l="1"/>
  <c r="L77" i="27" s="1"/>
  <c r="G15" i="27"/>
  <c r="G26" i="27"/>
  <c r="F15" i="27"/>
  <c r="F26" i="27"/>
  <c r="E15" i="27"/>
  <c r="E26" i="27"/>
  <c r="G58" i="27"/>
  <c r="G52" i="27"/>
  <c r="G61" i="27" s="1"/>
  <c r="F52" i="27" l="1"/>
  <c r="F58" i="27"/>
  <c r="E52" i="27"/>
  <c r="E58" i="27" l="1"/>
  <c r="D15" i="27" l="1"/>
  <c r="D26" i="27"/>
  <c r="D58" i="27"/>
  <c r="D52" i="27"/>
  <c r="C58" i="27" l="1"/>
  <c r="C52" i="27"/>
  <c r="C26" i="27"/>
  <c r="C15" i="27"/>
  <c r="G38" i="27"/>
  <c r="F38" i="27"/>
  <c r="E38" i="27"/>
  <c r="D38" i="27"/>
  <c r="C38" i="27"/>
  <c r="K38" i="27" s="1"/>
  <c r="K15" i="27" l="1"/>
  <c r="L15" i="27" s="1"/>
  <c r="K26" i="27"/>
  <c r="L26" i="27" s="1"/>
  <c r="K52" i="27"/>
  <c r="L52" i="27" s="1"/>
  <c r="K58" i="27"/>
  <c r="L58" i="27" s="1"/>
  <c r="L38" i="27"/>
  <c r="C61" i="27"/>
  <c r="M75" i="27"/>
  <c r="M72" i="27"/>
  <c r="M71" i="27"/>
  <c r="M64" i="27"/>
  <c r="L60" i="27"/>
  <c r="M60" i="27" s="1"/>
  <c r="M59" i="27"/>
  <c r="M56" i="27"/>
  <c r="M55" i="27"/>
  <c r="M54" i="27"/>
  <c r="M53" i="27"/>
  <c r="M49" i="27"/>
  <c r="M48" i="27"/>
  <c r="M37" i="27"/>
  <c r="M36" i="27"/>
  <c r="M33" i="27"/>
  <c r="M31" i="27"/>
  <c r="M30" i="27"/>
  <c r="M29" i="27"/>
  <c r="M28" i="27"/>
  <c r="M27" i="27"/>
  <c r="M24" i="27"/>
  <c r="M23" i="27"/>
  <c r="M22" i="27"/>
  <c r="M20" i="27"/>
  <c r="M19" i="27"/>
  <c r="M18" i="27"/>
  <c r="M17" i="27"/>
  <c r="M16" i="27"/>
  <c r="M14" i="27"/>
  <c r="M13" i="27"/>
  <c r="G10" i="27"/>
  <c r="F10" i="27"/>
  <c r="E10" i="27"/>
  <c r="D10" i="27"/>
  <c r="C10" i="27"/>
  <c r="M8" i="27"/>
  <c r="M74" i="27" l="1"/>
  <c r="G67" i="27"/>
  <c r="M76" i="27"/>
  <c r="G43" i="27"/>
  <c r="D61" i="27"/>
  <c r="E61" i="27"/>
  <c r="E67" i="27" s="1"/>
  <c r="F61" i="27"/>
  <c r="F67" i="27" s="1"/>
  <c r="M58" i="27"/>
  <c r="M42" i="27" s="1"/>
  <c r="M73" i="27"/>
  <c r="D43" i="27"/>
  <c r="M15" i="27"/>
  <c r="C43" i="27"/>
  <c r="M38" i="27"/>
  <c r="M9" i="27"/>
  <c r="M10" i="27" s="1"/>
  <c r="L10" i="27"/>
  <c r="M26" i="27"/>
  <c r="M52" i="27"/>
  <c r="M41" i="27" s="1"/>
  <c r="E43" i="27"/>
  <c r="F43" i="27"/>
  <c r="AH74" i="5"/>
  <c r="AH56" i="5"/>
  <c r="AH55" i="5"/>
  <c r="AH54" i="5"/>
  <c r="AH33" i="5"/>
  <c r="AH31" i="5"/>
  <c r="AH23" i="5"/>
  <c r="AH18" i="5"/>
  <c r="AH17" i="5"/>
  <c r="AH16" i="5"/>
  <c r="AG74" i="5"/>
  <c r="AG71" i="5"/>
  <c r="AH71" i="5" s="1"/>
  <c r="AG64" i="5"/>
  <c r="AH64" i="5" s="1"/>
  <c r="AG60" i="5"/>
  <c r="AH60" i="5" s="1"/>
  <c r="AG59" i="5"/>
  <c r="AH59" i="5" s="1"/>
  <c r="AG56" i="5"/>
  <c r="AG55" i="5"/>
  <c r="AG54" i="5"/>
  <c r="AG53" i="5"/>
  <c r="AH53" i="5" s="1"/>
  <c r="AG49" i="5"/>
  <c r="AH49" i="5" s="1"/>
  <c r="AG48" i="5"/>
  <c r="AH48" i="5" s="1"/>
  <c r="AG37" i="5"/>
  <c r="AH37" i="5" s="1"/>
  <c r="AG36" i="5"/>
  <c r="AH36" i="5" s="1"/>
  <c r="AG33" i="5"/>
  <c r="AG31" i="5"/>
  <c r="AG30" i="5"/>
  <c r="AH30" i="5" s="1"/>
  <c r="AG29" i="5"/>
  <c r="AH29" i="5" s="1"/>
  <c r="AG28" i="5"/>
  <c r="AH28" i="5" s="1"/>
  <c r="AG27" i="5"/>
  <c r="AH27" i="5" s="1"/>
  <c r="AG24" i="5"/>
  <c r="AH24" i="5" s="1"/>
  <c r="AG23" i="5"/>
  <c r="AG22" i="5"/>
  <c r="AH22" i="5" s="1"/>
  <c r="AG20" i="5"/>
  <c r="AH20" i="5" s="1"/>
  <c r="AG19" i="5"/>
  <c r="AH19" i="5" s="1"/>
  <c r="AG18" i="5"/>
  <c r="AG17" i="5"/>
  <c r="AG16" i="5"/>
  <c r="AG14" i="5"/>
  <c r="AH14" i="5" s="1"/>
  <c r="AG9" i="5"/>
  <c r="AH9" i="5" s="1"/>
  <c r="AG8" i="5"/>
  <c r="AH8" i="5" s="1"/>
  <c r="AF77" i="5"/>
  <c r="K61" i="27" l="1"/>
  <c r="K43" i="27"/>
  <c r="L61" i="27"/>
  <c r="L43" i="27"/>
  <c r="D67" i="27"/>
  <c r="M77" i="27"/>
  <c r="M43" i="27"/>
  <c r="M61" i="27"/>
  <c r="M67" i="27" s="1"/>
  <c r="C67" i="27"/>
  <c r="AF10" i="5"/>
  <c r="AG13" i="5"/>
  <c r="AH13" i="5" s="1"/>
  <c r="AF15" i="5"/>
  <c r="AF26" i="5"/>
  <c r="K67" i="27" l="1"/>
  <c r="L67" i="27" s="1"/>
  <c r="AF43" i="5"/>
  <c r="AF38" i="5"/>
  <c r="AF52" i="5"/>
  <c r="AF61" i="5" s="1"/>
  <c r="AF67" i="5" s="1"/>
  <c r="AF58" i="5"/>
  <c r="AE77" i="5" l="1"/>
  <c r="AE10" i="5" l="1"/>
  <c r="AE15" i="5" l="1"/>
  <c r="AE26" i="5"/>
  <c r="AE43" i="5"/>
  <c r="AE52" i="5"/>
  <c r="AE58" i="5"/>
  <c r="AE38" i="5"/>
  <c r="AE61" i="5" l="1"/>
  <c r="AE67" i="5" s="1"/>
  <c r="AC77" i="5"/>
  <c r="AD77" i="5" l="1"/>
  <c r="AD10" i="5" l="1"/>
  <c r="AD15" i="5"/>
  <c r="AD26" i="5"/>
  <c r="AD58" i="5" l="1"/>
  <c r="AD52" i="5"/>
  <c r="AD38" i="5"/>
  <c r="AD43" i="5"/>
  <c r="AD61" i="5" l="1"/>
  <c r="AD67" i="5" s="1"/>
  <c r="AC10" i="5" l="1"/>
  <c r="AC58" i="5"/>
  <c r="AC52" i="5"/>
  <c r="AC43" i="5"/>
  <c r="AC38" i="5"/>
  <c r="AC26" i="5"/>
  <c r="AC15" i="5"/>
  <c r="AC61" i="5" l="1"/>
  <c r="AC67" i="5" s="1"/>
  <c r="X43" i="5"/>
  <c r="AB77" i="5"/>
  <c r="AB10" i="5" l="1"/>
  <c r="AB15" i="5"/>
  <c r="AB26" i="5"/>
  <c r="AB38" i="5"/>
  <c r="AB43" i="5"/>
  <c r="AB58" i="5"/>
  <c r="AB52" i="5"/>
  <c r="AA77" i="5"/>
  <c r="AB61" i="5" l="1"/>
  <c r="AB67" i="5" s="1"/>
  <c r="AA10" i="5"/>
  <c r="AA15" i="5"/>
  <c r="AA26" i="5"/>
  <c r="AA58" i="5" l="1"/>
  <c r="AA52" i="5"/>
  <c r="AA43" i="5"/>
  <c r="AA38" i="5"/>
  <c r="AA61" i="5" l="1"/>
  <c r="AA67" i="5" s="1"/>
  <c r="Z10" i="5"/>
  <c r="Z15" i="5"/>
  <c r="Z26" i="5"/>
  <c r="Z38" i="5"/>
  <c r="Z43" i="5"/>
  <c r="Z52" i="5"/>
  <c r="Z58" i="5"/>
  <c r="Z77" i="5"/>
  <c r="AI9" i="5"/>
  <c r="Y77" i="5"/>
  <c r="Z61" i="5" l="1"/>
  <c r="Z67" i="5" s="1"/>
  <c r="Y10" i="5" l="1"/>
  <c r="Y26" i="5"/>
  <c r="Y15" i="5"/>
  <c r="Y58" i="5"/>
  <c r="Y52" i="5"/>
  <c r="Y38" i="5"/>
  <c r="Y43" i="5"/>
  <c r="Y61" i="5" l="1"/>
  <c r="Y67" i="5" s="1"/>
  <c r="X77" i="5"/>
  <c r="X10" i="5"/>
  <c r="W77" i="5"/>
  <c r="V77" i="5" l="1"/>
  <c r="X26" i="5" l="1"/>
  <c r="W26" i="5"/>
  <c r="V26" i="5"/>
  <c r="U26" i="5"/>
  <c r="T26" i="5"/>
  <c r="X15" i="5"/>
  <c r="X52" i="5" l="1"/>
  <c r="X38" i="5"/>
  <c r="X58" i="5"/>
  <c r="X61" i="5" l="1"/>
  <c r="V15" i="5"/>
  <c r="V38" i="5"/>
  <c r="V58" i="5"/>
  <c r="V52" i="5"/>
  <c r="V43" i="5"/>
  <c r="X67" i="5" l="1"/>
  <c r="V61" i="5"/>
  <c r="V67" i="5" s="1"/>
  <c r="V10" i="5"/>
  <c r="W10" i="5"/>
  <c r="W15" i="5"/>
  <c r="W58" i="5"/>
  <c r="W52" i="5"/>
  <c r="W43" i="5"/>
  <c r="W38" i="5"/>
  <c r="W61" i="5" l="1"/>
  <c r="W67" i="5" s="1"/>
  <c r="U10" i="5"/>
  <c r="U15" i="5" l="1"/>
  <c r="U77" i="5"/>
  <c r="U38" i="5" l="1"/>
  <c r="U58" i="5"/>
  <c r="U52" i="5"/>
  <c r="U61" i="5" s="1"/>
  <c r="U67" i="5" s="1"/>
  <c r="U43" i="5"/>
  <c r="T77" i="5" l="1"/>
  <c r="T15" i="5" l="1"/>
  <c r="T10" i="5" l="1"/>
  <c r="T58" i="5"/>
  <c r="T52" i="5"/>
  <c r="T43" i="5"/>
  <c r="T38" i="5"/>
  <c r="T61" i="5" l="1"/>
  <c r="T67" i="5" s="1"/>
  <c r="AI64" i="5"/>
  <c r="AI33" i="5"/>
  <c r="AI31" i="5"/>
  <c r="AI30" i="5"/>
  <c r="AI17" i="5"/>
  <c r="AI16" i="5"/>
  <c r="AI13" i="5"/>
  <c r="AI20" i="5"/>
  <c r="AI22" i="5"/>
  <c r="AI27" i="5"/>
  <c r="AI37" i="5"/>
  <c r="AI48" i="5"/>
  <c r="AI53" i="5"/>
  <c r="AI54" i="5"/>
  <c r="AI59" i="5"/>
  <c r="AI74" i="5"/>
  <c r="S77" i="5"/>
  <c r="AI56" i="5" l="1"/>
  <c r="AI19" i="5"/>
  <c r="AI60" i="5"/>
  <c r="AI58" i="5" s="1"/>
  <c r="AI55" i="5"/>
  <c r="AI29" i="5"/>
  <c r="AI28" i="5"/>
  <c r="AI24" i="5"/>
  <c r="AI23" i="5"/>
  <c r="AI18" i="5"/>
  <c r="AI14" i="5"/>
  <c r="AI71" i="5"/>
  <c r="AI36" i="5"/>
  <c r="AI38" i="5" s="1"/>
  <c r="AI49" i="5"/>
  <c r="AI26" i="5" l="1"/>
  <c r="AI15" i="5"/>
  <c r="AI52" i="5"/>
  <c r="AI41" i="5" s="1"/>
  <c r="AI42" i="5"/>
  <c r="AI43" i="5" l="1"/>
  <c r="AI61" i="5"/>
  <c r="AI67" i="5" s="1"/>
  <c r="S26" i="5"/>
  <c r="S15" i="5"/>
  <c r="S38" i="5" l="1"/>
  <c r="S43" i="5"/>
  <c r="S52" i="5"/>
  <c r="S58" i="5"/>
  <c r="S61" i="5" l="1"/>
  <c r="S67" i="5" s="1"/>
  <c r="S10" i="5"/>
  <c r="R77" i="5" l="1"/>
  <c r="R26" i="5" l="1"/>
  <c r="R15" i="5"/>
  <c r="R10" i="5" l="1"/>
  <c r="R58" i="5"/>
  <c r="R52" i="5"/>
  <c r="R43" i="5"/>
  <c r="R38" i="5"/>
  <c r="R61" i="5" l="1"/>
  <c r="R67" i="5" s="1"/>
  <c r="Q77" i="5"/>
  <c r="O77" i="5"/>
  <c r="D76" i="5"/>
  <c r="C76" i="5"/>
  <c r="D75" i="5"/>
  <c r="C75" i="5"/>
  <c r="AG75" i="5" s="1"/>
  <c r="AH75" i="5" s="1"/>
  <c r="P73" i="5"/>
  <c r="P77" i="5" s="1"/>
  <c r="N73" i="5"/>
  <c r="N77" i="5" s="1"/>
  <c r="M73" i="5"/>
  <c r="M77" i="5" s="1"/>
  <c r="L73" i="5"/>
  <c r="L77" i="5" s="1"/>
  <c r="K73" i="5"/>
  <c r="K77" i="5" s="1"/>
  <c r="J73" i="5"/>
  <c r="J77" i="5" s="1"/>
  <c r="I73" i="5"/>
  <c r="I77" i="5" s="1"/>
  <c r="H73" i="5"/>
  <c r="H77" i="5" s="1"/>
  <c r="G73" i="5"/>
  <c r="G77" i="5" s="1"/>
  <c r="F73" i="5"/>
  <c r="E73" i="5"/>
  <c r="D73" i="5"/>
  <c r="C73" i="5"/>
  <c r="E72" i="5"/>
  <c r="D72" i="5"/>
  <c r="Q58" i="5"/>
  <c r="Q42" i="5" s="1"/>
  <c r="P58" i="5"/>
  <c r="P42" i="5" s="1"/>
  <c r="O58" i="5"/>
  <c r="O42" i="5" s="1"/>
  <c r="N58" i="5"/>
  <c r="N42" i="5" s="1"/>
  <c r="M58" i="5"/>
  <c r="M42" i="5" s="1"/>
  <c r="L58" i="5"/>
  <c r="L42" i="5" s="1"/>
  <c r="K58" i="5"/>
  <c r="K42" i="5" s="1"/>
  <c r="J58" i="5"/>
  <c r="J42" i="5" s="1"/>
  <c r="I58" i="5"/>
  <c r="I42" i="5" s="1"/>
  <c r="H58" i="5"/>
  <c r="H42" i="5" s="1"/>
  <c r="G58" i="5"/>
  <c r="G42" i="5" s="1"/>
  <c r="F58" i="5"/>
  <c r="F42" i="5" s="1"/>
  <c r="E58" i="5"/>
  <c r="E42" i="5" s="1"/>
  <c r="D58" i="5"/>
  <c r="D42" i="5" s="1"/>
  <c r="C58" i="5"/>
  <c r="Q52" i="5"/>
  <c r="P52" i="5"/>
  <c r="P41" i="5" s="1"/>
  <c r="O52" i="5"/>
  <c r="O41" i="5" s="1"/>
  <c r="N52" i="5"/>
  <c r="N41" i="5" s="1"/>
  <c r="M52" i="5"/>
  <c r="M41" i="5" s="1"/>
  <c r="L52" i="5"/>
  <c r="L41" i="5" s="1"/>
  <c r="K52" i="5"/>
  <c r="K41" i="5" s="1"/>
  <c r="J52" i="5"/>
  <c r="J41" i="5" s="1"/>
  <c r="I52" i="5"/>
  <c r="I41" i="5" s="1"/>
  <c r="H52" i="5"/>
  <c r="H41" i="5" s="1"/>
  <c r="G52" i="5"/>
  <c r="F52" i="5"/>
  <c r="E52" i="5"/>
  <c r="D52" i="5"/>
  <c r="D41" i="5" s="1"/>
  <c r="C52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G73" i="5" l="1"/>
  <c r="AH73" i="5" s="1"/>
  <c r="AG38" i="5"/>
  <c r="AH38" i="5" s="1"/>
  <c r="AG76" i="5"/>
  <c r="AH76" i="5" s="1"/>
  <c r="AI76" i="5" s="1"/>
  <c r="AG26" i="5"/>
  <c r="AH26" i="5" s="1"/>
  <c r="AG52" i="5"/>
  <c r="AH52" i="5" s="1"/>
  <c r="D77" i="5"/>
  <c r="AG72" i="5"/>
  <c r="AH72" i="5" s="1"/>
  <c r="AI72" i="5" s="1"/>
  <c r="AG15" i="5"/>
  <c r="AH15" i="5" s="1"/>
  <c r="AG58" i="5"/>
  <c r="AH58" i="5" s="1"/>
  <c r="AI75" i="5"/>
  <c r="C77" i="5"/>
  <c r="AG77" i="5" s="1"/>
  <c r="AH77" i="5" s="1"/>
  <c r="C41" i="5"/>
  <c r="M43" i="5"/>
  <c r="E77" i="5"/>
  <c r="N43" i="5"/>
  <c r="F77" i="5"/>
  <c r="E61" i="5"/>
  <c r="E67" i="5" s="1"/>
  <c r="Q61" i="5"/>
  <c r="Q67" i="5" s="1"/>
  <c r="D43" i="5"/>
  <c r="P43" i="5"/>
  <c r="F61" i="5"/>
  <c r="F67" i="5" s="1"/>
  <c r="C42" i="5"/>
  <c r="AG42" i="5" s="1"/>
  <c r="AH42" i="5" s="1"/>
  <c r="L61" i="5"/>
  <c r="L67" i="5" s="1"/>
  <c r="H43" i="5"/>
  <c r="O43" i="5"/>
  <c r="H61" i="5"/>
  <c r="H67" i="5" s="1"/>
  <c r="J61" i="5"/>
  <c r="J67" i="5" s="1"/>
  <c r="G61" i="5"/>
  <c r="G67" i="5" s="1"/>
  <c r="E41" i="5"/>
  <c r="E43" i="5" s="1"/>
  <c r="Q41" i="5"/>
  <c r="Q43" i="5" s="1"/>
  <c r="I61" i="5"/>
  <c r="I67" i="5" s="1"/>
  <c r="F41" i="5"/>
  <c r="F43" i="5" s="1"/>
  <c r="G41" i="5"/>
  <c r="G43" i="5" s="1"/>
  <c r="N61" i="5"/>
  <c r="N67" i="5" s="1"/>
  <c r="I43" i="5"/>
  <c r="C61" i="5"/>
  <c r="O61" i="5"/>
  <c r="O67" i="5" s="1"/>
  <c r="J43" i="5"/>
  <c r="L43" i="5"/>
  <c r="D61" i="5"/>
  <c r="D67" i="5" s="1"/>
  <c r="P61" i="5"/>
  <c r="P67" i="5" s="1"/>
  <c r="K43" i="5"/>
  <c r="K61" i="5"/>
  <c r="K67" i="5" s="1"/>
  <c r="M61" i="5"/>
  <c r="M67" i="5" s="1"/>
  <c r="AG61" i="5" l="1"/>
  <c r="AH61" i="5" s="1"/>
  <c r="C43" i="5"/>
  <c r="AG43" i="5" s="1"/>
  <c r="AH43" i="5" s="1"/>
  <c r="AG41" i="5"/>
  <c r="AH41" i="5" s="1"/>
  <c r="C67" i="5"/>
  <c r="AG67" i="5" s="1"/>
  <c r="AH67" i="5" s="1"/>
  <c r="AI73" i="5"/>
  <c r="AI77" i="5" s="1"/>
  <c r="C77" i="1" l="1"/>
  <c r="B76" i="1"/>
  <c r="B75" i="1"/>
  <c r="B74" i="1"/>
  <c r="B73" i="1"/>
  <c r="B72" i="1"/>
  <c r="B71" i="1"/>
  <c r="B77" i="1" s="1"/>
  <c r="AG10" i="5"/>
  <c r="AI8" i="5"/>
  <c r="AI10" i="5" s="1"/>
  <c r="AH10" i="5" l="1"/>
</calcChain>
</file>

<file path=xl/sharedStrings.xml><?xml version="1.0" encoding="utf-8"?>
<sst xmlns="http://schemas.openxmlformats.org/spreadsheetml/2006/main" count="616" uniqueCount="100">
  <si>
    <t>Amrita Hospital - Kochi</t>
  </si>
  <si>
    <t>Particulars</t>
  </si>
  <si>
    <t>Occupancy</t>
  </si>
  <si>
    <t>Bed Strength</t>
  </si>
  <si>
    <t>Beds Occupied</t>
  </si>
  <si>
    <t>Occupancy %</t>
  </si>
  <si>
    <t>Volumes</t>
  </si>
  <si>
    <t>OP New Registration</t>
  </si>
  <si>
    <t>OP Encounters</t>
  </si>
  <si>
    <t>IP Admission</t>
  </si>
  <si>
    <t xml:space="preserve">               General</t>
  </si>
  <si>
    <t xml:space="preserve">               TPA</t>
  </si>
  <si>
    <t xml:space="preserve">               ECHS/ESI /INHS/ISRO/CIAL</t>
  </si>
  <si>
    <t xml:space="preserve">               P.Card.Fund</t>
  </si>
  <si>
    <t xml:space="preserve">              Corporates</t>
  </si>
  <si>
    <t>Emergency Admission</t>
  </si>
  <si>
    <t>Planned
Admission</t>
  </si>
  <si>
    <t>Admission from OP 
(walk-in)</t>
  </si>
  <si>
    <t>IP Discharges</t>
  </si>
  <si>
    <t xml:space="preserve">               Corporates </t>
  </si>
  <si>
    <t>Long Stay Patients</t>
  </si>
  <si>
    <t>Billing (INR)</t>
  </si>
  <si>
    <t>OP</t>
  </si>
  <si>
    <t>IP</t>
  </si>
  <si>
    <t>Total Billing</t>
  </si>
  <si>
    <t>Domestic</t>
  </si>
  <si>
    <t>International</t>
  </si>
  <si>
    <t>Cash (IP &amp; OP)</t>
  </si>
  <si>
    <t>Credit (IP &amp; OP)</t>
  </si>
  <si>
    <t>ECHS/ESI /INHS/ISRO/CIAL</t>
  </si>
  <si>
    <t>P.Card.Fund</t>
  </si>
  <si>
    <t>TPA</t>
  </si>
  <si>
    <t>Corporates</t>
  </si>
  <si>
    <t>TPA Aasantha</t>
  </si>
  <si>
    <t>AEPL Billing ( Collection thru' AIMS )</t>
  </si>
  <si>
    <t>Hospital Revenue (Net of AEPL)</t>
  </si>
  <si>
    <t xml:space="preserve">Collection (INR) </t>
  </si>
  <si>
    <t>Cash (including IP advances)</t>
  </si>
  <si>
    <t>Credit Card</t>
  </si>
  <si>
    <t>Bank</t>
  </si>
  <si>
    <t>Other Income( Bank Interest )</t>
  </si>
  <si>
    <t>Less: Patients Refunds through Cash</t>
  </si>
  <si>
    <t>Less: Patients Refunds through Bank</t>
  </si>
  <si>
    <t>Total Collection</t>
  </si>
  <si>
    <t>Daily Average April</t>
  </si>
  <si>
    <t xml:space="preserve">MTD April   </t>
  </si>
  <si>
    <t>Daily Average May</t>
  </si>
  <si>
    <t>MTD May</t>
  </si>
  <si>
    <t>Daily Average June</t>
  </si>
  <si>
    <t>MTD June (Proj)</t>
  </si>
  <si>
    <t>Daily Progress Report 10th Jun 2026</t>
  </si>
  <si>
    <t>As on 10th Jun 2026</t>
  </si>
  <si>
    <t>As on 13th Jun 2026</t>
  </si>
  <si>
    <t>As on 14th Jun 2026</t>
  </si>
  <si>
    <t>As on 1st Jun 2026</t>
  </si>
  <si>
    <t>As on 2nd Jun 2026</t>
  </si>
  <si>
    <t>As on 3rd Jun 2026</t>
  </si>
  <si>
    <t>As on 4th Jun 2026</t>
  </si>
  <si>
    <t>As on 5th Jun 2026</t>
  </si>
  <si>
    <t>As on 6th Jun 2026</t>
  </si>
  <si>
    <t>As on 7th Jun 2026</t>
  </si>
  <si>
    <t>As on 9th Jun 2026</t>
  </si>
  <si>
    <t>As on 11th Jun 2026</t>
  </si>
  <si>
    <t>As on 12th Jun 2026</t>
  </si>
  <si>
    <t>As on 8th Jun 2026</t>
  </si>
  <si>
    <t>As on 15th Jun 2026</t>
  </si>
  <si>
    <t>Daily Progress Report 15th Jun 2026</t>
  </si>
  <si>
    <t>As on 16th Jun 2026</t>
  </si>
  <si>
    <t>As on 17th Jun 2026</t>
  </si>
  <si>
    <t>Credit Card/UPI</t>
  </si>
  <si>
    <t>As on 18th Jun 2026</t>
  </si>
  <si>
    <t>As on 19th Jun 2026</t>
  </si>
  <si>
    <t>SL NO</t>
  </si>
  <si>
    <t>As on 20th Jun 2026</t>
  </si>
  <si>
    <t>As on 21th Jun 2026</t>
  </si>
  <si>
    <t>As on 22th Jun 2026</t>
  </si>
  <si>
    <t>As on 23th Jun 2026</t>
  </si>
  <si>
    <t>As on 24th Jun 2026</t>
  </si>
  <si>
    <t>As on 25th Jun 2026</t>
  </si>
  <si>
    <t>As on 26th Jun 2026</t>
  </si>
  <si>
    <t>Monthly June (Proj)</t>
  </si>
  <si>
    <t>MTD (Jun) Total</t>
  </si>
  <si>
    <t>As on 27th Jun 2026</t>
  </si>
  <si>
    <t>As on 28th Jun 2026</t>
  </si>
  <si>
    <t>As on 29th Jun 2026</t>
  </si>
  <si>
    <t>As on 30th Jun 2026</t>
  </si>
  <si>
    <t>Daily Progress Report July 2026</t>
  </si>
  <si>
    <t>As on 1st July 2026</t>
  </si>
  <si>
    <t>MTD (July) Total</t>
  </si>
  <si>
    <t>Daily Average July</t>
  </si>
  <si>
    <t>Monthly July (Proj)</t>
  </si>
  <si>
    <t>As on 2nd July 2026</t>
  </si>
  <si>
    <t>As on 3rd July 2026</t>
  </si>
  <si>
    <t>As on 4th July 2026</t>
  </si>
  <si>
    <t>As on 5th July 2026</t>
  </si>
  <si>
    <t xml:space="preserve">MTD (Jun) </t>
  </si>
  <si>
    <t>As on 6th July 2026</t>
  </si>
  <si>
    <t>As on 7th July 2026</t>
  </si>
  <si>
    <t>As on 10th July 2026</t>
  </si>
  <si>
    <t>As on 12th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</si>
</sst>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6"/>
      <name val="Arial Narrow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b/>
      <u val="singleAccounting"/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64">
    <xf numFmtId="0" fontId="0" fillId="0" borderId="0" xfId="0"/>
    <xf numFmtId="0" fontId="3" fillId="2" borderId="0" xfId="3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1" xfId="3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 wrapText="1"/>
    </xf>
    <xf numFmtId="0" fontId="5" fillId="4" borderId="3" xfId="3" applyFont="1" applyFill="1" applyBorder="1" applyAlignment="1">
      <alignment horizontal="center" vertical="center"/>
    </xf>
    <xf numFmtId="0" fontId="6" fillId="4" borderId="4" xfId="3" applyFont="1" applyFill="1" applyBorder="1" applyAlignment="1">
      <alignment horizontal="right" vertical="center" wrapText="1"/>
    </xf>
    <xf numFmtId="0" fontId="7" fillId="4" borderId="6" xfId="3" applyFont="1" applyFill="1" applyBorder="1" applyAlignment="1">
      <alignment horizontal="left" vertical="center"/>
    </xf>
    <xf numFmtId="0" fontId="6" fillId="4" borderId="5" xfId="3" applyFont="1" applyFill="1" applyBorder="1" applyAlignment="1">
      <alignment horizontal="right" vertical="center" wrapText="1"/>
    </xf>
    <xf numFmtId="0" fontId="5" fillId="4" borderId="6" xfId="3" applyFont="1" applyFill="1" applyBorder="1" applyAlignment="1">
      <alignment horizontal="left" indent="3"/>
    </xf>
    <xf numFmtId="0" fontId="7" fillId="4" borderId="7" xfId="3" applyFont="1" applyFill="1" applyBorder="1" applyAlignment="1">
      <alignment horizontal="left" indent="3"/>
    </xf>
    <xf numFmtId="9" fontId="6" fillId="5" borderId="8" xfId="2" applyFont="1" applyFill="1" applyBorder="1" applyAlignment="1">
      <alignment horizontal="right" vertical="center" wrapText="1"/>
    </xf>
    <xf numFmtId="0" fontId="8" fillId="4" borderId="9" xfId="3" applyFont="1" applyFill="1" applyBorder="1" applyAlignment="1">
      <alignment horizontal="left" indent="3"/>
    </xf>
    <xf numFmtId="0" fontId="7" fillId="4" borderId="10" xfId="3" applyFont="1" applyFill="1" applyBorder="1" applyAlignment="1">
      <alignment horizontal="left"/>
    </xf>
    <xf numFmtId="0" fontId="5" fillId="4" borderId="10" xfId="3" applyFont="1" applyFill="1" applyBorder="1" applyAlignment="1">
      <alignment horizontal="left" indent="3"/>
    </xf>
    <xf numFmtId="164" fontId="6" fillId="4" borderId="5" xfId="1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>
      <alignment horizontal="left" indent="3"/>
    </xf>
    <xf numFmtId="164" fontId="9" fillId="4" borderId="5" xfId="1" applyNumberFormat="1" applyFont="1" applyFill="1" applyBorder="1" applyAlignment="1">
      <alignment horizontal="center" vertical="center"/>
    </xf>
    <xf numFmtId="0" fontId="8" fillId="4" borderId="0" xfId="3" applyFont="1" applyFill="1" applyAlignment="1">
      <alignment horizontal="left" indent="3"/>
    </xf>
    <xf numFmtId="0" fontId="8" fillId="4" borderId="10" xfId="3" applyFont="1" applyFill="1" applyBorder="1" applyAlignment="1">
      <alignment horizontal="left" indent="3"/>
    </xf>
    <xf numFmtId="0" fontId="8" fillId="4" borderId="11" xfId="3" applyFont="1" applyFill="1" applyBorder="1" applyAlignment="1">
      <alignment horizontal="left" indent="3"/>
    </xf>
    <xf numFmtId="164" fontId="9" fillId="4" borderId="12" xfId="1" applyNumberFormat="1" applyFont="1" applyFill="1" applyBorder="1" applyAlignment="1">
      <alignment horizontal="center" vertical="center"/>
    </xf>
    <xf numFmtId="0" fontId="7" fillId="4" borderId="6" xfId="3" applyFont="1" applyFill="1" applyBorder="1" applyAlignment="1">
      <alignment horizontal="left"/>
    </xf>
    <xf numFmtId="0" fontId="7" fillId="6" borderId="7" xfId="3" applyFont="1" applyFill="1" applyBorder="1" applyAlignment="1">
      <alignment horizontal="left"/>
    </xf>
    <xf numFmtId="164" fontId="6" fillId="6" borderId="8" xfId="1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>
      <alignment horizontal="left"/>
    </xf>
    <xf numFmtId="0" fontId="10" fillId="4" borderId="6" xfId="3" applyFont="1" applyFill="1" applyBorder="1" applyAlignment="1">
      <alignment horizontal="left" indent="3"/>
    </xf>
    <xf numFmtId="0" fontId="7" fillId="4" borderId="7" xfId="3" applyFont="1" applyFill="1" applyBorder="1" applyAlignment="1">
      <alignment horizontal="left"/>
    </xf>
    <xf numFmtId="164" fontId="6" fillId="4" borderId="8" xfId="1" applyNumberFormat="1" applyFont="1" applyFill="1" applyBorder="1" applyAlignment="1">
      <alignment horizontal="center" vertical="center"/>
    </xf>
    <xf numFmtId="0" fontId="8" fillId="4" borderId="6" xfId="3" applyFont="1" applyFill="1" applyBorder="1"/>
    <xf numFmtId="2" fontId="7" fillId="6" borderId="13" xfId="3" applyNumberFormat="1" applyFont="1" applyFill="1" applyBorder="1" applyAlignment="1">
      <alignment horizontal="left" vertical="center"/>
    </xf>
    <xf numFmtId="164" fontId="11" fillId="4" borderId="5" xfId="1" applyNumberFormat="1" applyFont="1" applyFill="1" applyBorder="1" applyAlignment="1">
      <alignment horizontal="center" vertical="center"/>
    </xf>
    <xf numFmtId="164" fontId="6" fillId="4" borderId="5" xfId="3" applyNumberFormat="1" applyFont="1" applyFill="1" applyBorder="1" applyAlignment="1">
      <alignment horizontal="right" vertical="center" wrapText="1"/>
    </xf>
    <xf numFmtId="1" fontId="6" fillId="4" borderId="5" xfId="3" applyNumberFormat="1" applyFont="1" applyFill="1" applyBorder="1" applyAlignment="1">
      <alignment horizontal="right" vertical="center" wrapText="1"/>
    </xf>
    <xf numFmtId="0" fontId="12" fillId="0" borderId="0" xfId="0" applyFont="1"/>
    <xf numFmtId="164" fontId="12" fillId="0" borderId="0" xfId="0" applyNumberFormat="1" applyFont="1"/>
    <xf numFmtId="0" fontId="13" fillId="0" borderId="0" xfId="0" applyFont="1"/>
    <xf numFmtId="2" fontId="0" fillId="0" borderId="0" xfId="0" applyNumberFormat="1"/>
    <xf numFmtId="164" fontId="6" fillId="5" borderId="8" xfId="1" applyNumberFormat="1" applyFont="1" applyFill="1" applyBorder="1" applyAlignment="1">
      <alignment horizontal="center" vertical="center"/>
    </xf>
    <xf numFmtId="164" fontId="9" fillId="5" borderId="5" xfId="1" applyNumberFormat="1" applyFont="1" applyFill="1" applyBorder="1" applyAlignment="1">
      <alignment horizontal="center" vertical="center"/>
    </xf>
    <xf numFmtId="0" fontId="3" fillId="5" borderId="0" xfId="3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3" borderId="16" xfId="3" applyFont="1" applyFill="1" applyBorder="1" applyAlignment="1">
      <alignment horizontal="center" vertical="center"/>
    </xf>
    <xf numFmtId="0" fontId="5" fillId="4" borderId="17" xfId="3" applyFont="1" applyFill="1" applyBorder="1" applyAlignment="1">
      <alignment horizontal="center" vertical="center"/>
    </xf>
    <xf numFmtId="0" fontId="7" fillId="4" borderId="0" xfId="3" applyFont="1" applyFill="1" applyBorder="1" applyAlignment="1">
      <alignment horizontal="left" vertical="center"/>
    </xf>
    <xf numFmtId="0" fontId="5" fillId="4" borderId="0" xfId="3" applyFont="1" applyFill="1" applyBorder="1" applyAlignment="1">
      <alignment horizontal="left" indent="3"/>
    </xf>
    <xf numFmtId="0" fontId="7" fillId="4" borderId="18" xfId="3" applyFont="1" applyFill="1" applyBorder="1" applyAlignment="1">
      <alignment horizontal="left" indent="3"/>
    </xf>
    <xf numFmtId="0" fontId="8" fillId="4" borderId="19" xfId="3" applyFont="1" applyFill="1" applyBorder="1" applyAlignment="1">
      <alignment horizontal="left" indent="3"/>
    </xf>
    <xf numFmtId="0" fontId="7" fillId="4" borderId="0" xfId="3" applyFont="1" applyFill="1" applyBorder="1" applyAlignment="1">
      <alignment horizontal="left"/>
    </xf>
    <xf numFmtId="0" fontId="8" fillId="4" borderId="0" xfId="3" applyFont="1" applyFill="1" applyBorder="1" applyAlignment="1">
      <alignment horizontal="left" indent="3"/>
    </xf>
    <xf numFmtId="0" fontId="8" fillId="4" borderId="14" xfId="3" applyFont="1" applyFill="1" applyBorder="1" applyAlignment="1">
      <alignment horizontal="left" indent="3"/>
    </xf>
    <xf numFmtId="0" fontId="7" fillId="6" borderId="18" xfId="3" applyFont="1" applyFill="1" applyBorder="1" applyAlignment="1">
      <alignment horizontal="left"/>
    </xf>
    <xf numFmtId="0" fontId="8" fillId="4" borderId="0" xfId="3" applyFont="1" applyFill="1" applyBorder="1" applyAlignment="1">
      <alignment horizontal="left"/>
    </xf>
    <xf numFmtId="0" fontId="10" fillId="4" borderId="0" xfId="3" applyFont="1" applyFill="1" applyBorder="1" applyAlignment="1">
      <alignment horizontal="left" indent="3"/>
    </xf>
    <xf numFmtId="0" fontId="7" fillId="4" borderId="18" xfId="3" applyFont="1" applyFill="1" applyBorder="1" applyAlignment="1">
      <alignment horizontal="left"/>
    </xf>
    <xf numFmtId="0" fontId="8" fillId="4" borderId="0" xfId="3" applyFont="1" applyFill="1" applyBorder="1"/>
    <xf numFmtId="2" fontId="7" fillId="6" borderId="20" xfId="3" applyNumberFormat="1" applyFont="1" applyFill="1" applyBorder="1" applyAlignment="1">
      <alignment horizontal="left" vertical="center"/>
    </xf>
    <xf numFmtId="0" fontId="5" fillId="4" borderId="15" xfId="3" applyFont="1" applyFill="1" applyBorder="1" applyAlignment="1">
      <alignment horizontal="center" vertical="center"/>
    </xf>
    <xf numFmtId="0" fontId="14" fillId="5" borderId="15" xfId="0" applyFont="1" applyFill="1" applyBorder="1"/>
    <xf numFmtId="0" fontId="5" fillId="3" borderId="15" xfId="3" applyFont="1" applyFill="1" applyBorder="1" applyAlignment="1">
      <alignment horizontal="center" vertical="center"/>
    </xf>
    <xf numFmtId="164" fontId="0" fillId="0" borderId="0" xfId="0" applyNumberFormat="1"/>
    <xf numFmtId="164" fontId="6" fillId="3" borderId="2" xfId="3" applyNumberFormat="1" applyFont="1" applyFill="1" applyBorder="1" applyAlignment="1">
      <alignment horizontal="center" vertical="center" wrapText="1"/>
    </xf>
    <xf numFmtId="164" fontId="6" fillId="4" borderId="4" xfId="3" applyNumberFormat="1" applyFont="1" applyFill="1" applyBorder="1" applyAlignment="1">
      <alignment horizontal="right" vertical="center" wrapText="1"/>
    </xf>
    <xf numFmtId="164" fontId="6" fillId="5" borderId="8" xfId="2" applyNumberFormat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_Formats MC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\Kavitha\MIS%20kochi\Daily%20MIS%20%20WITH%20NEW%20BA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S (Jun) (2)"/>
      <sheetName val="MIS (may) (3)"/>
      <sheetName val="bed occu "/>
      <sheetName val="bank 1304"/>
      <sheetName val="bank 670"/>
    </sheetNames>
    <sheetDataSet>
      <sheetData sheetId="0" refreshError="1"/>
      <sheetData sheetId="1" refreshError="1"/>
      <sheetData sheetId="2" refreshError="1"/>
      <sheetData sheetId="3" refreshError="1">
        <row r="2825">
          <cell r="G2825">
            <v>6753753.7000000002</v>
          </cell>
        </row>
        <row r="2926">
          <cell r="G2926">
            <v>13139250.300000003</v>
          </cell>
        </row>
        <row r="2991">
          <cell r="G2991">
            <v>6482249.7000000002</v>
          </cell>
        </row>
        <row r="3002">
          <cell r="G3002">
            <v>122483.9</v>
          </cell>
        </row>
        <row r="3114">
          <cell r="G3114">
            <v>13785402.239999998</v>
          </cell>
        </row>
        <row r="3221">
          <cell r="G3221">
            <v>12964522.300000003</v>
          </cell>
        </row>
        <row r="3352">
          <cell r="G3352">
            <v>16567383.300000003</v>
          </cell>
        </row>
      </sheetData>
      <sheetData sheetId="4" refreshError="1">
        <row r="54">
          <cell r="F54">
            <v>36150</v>
          </cell>
        </row>
        <row r="56">
          <cell r="F56">
            <v>30990</v>
          </cell>
        </row>
        <row r="60">
          <cell r="F60">
            <v>30080</v>
          </cell>
        </row>
        <row r="62">
          <cell r="F62">
            <v>43100</v>
          </cell>
        </row>
        <row r="64">
          <cell r="F64">
            <v>16000</v>
          </cell>
        </row>
        <row r="66">
          <cell r="F66">
            <v>38500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81"/>
  <sheetViews>
    <sheetView workbookViewId="0">
      <selection activeCell="A5" sqref="A5:H77"/>
    </sheetView>
  </sheetViews>
  <sheetFormatPr defaultRowHeight="14.25"/>
  <cols>
    <col min="1" max="1" width="48.625" customWidth="1"/>
    <col min="2" max="2" width="13.75" customWidth="1"/>
    <col min="3" max="3" width="13.875" customWidth="1"/>
    <col min="4" max="5" width="14.375" style="34" customWidth="1"/>
    <col min="6" max="6" width="13.875" style="34" customWidth="1"/>
    <col min="7" max="7" width="16.125" style="34" customWidth="1"/>
    <col min="8" max="8" width="13.875" customWidth="1"/>
  </cols>
  <sheetData>
    <row r="3" spans="1:8" ht="20.25">
      <c r="A3" s="1" t="s">
        <v>0</v>
      </c>
    </row>
    <row r="4" spans="1:8" ht="21" thickBot="1">
      <c r="A4" s="2" t="s">
        <v>50</v>
      </c>
    </row>
    <row r="5" spans="1:8" ht="60.75" customHeight="1" thickBot="1">
      <c r="A5" s="3" t="s">
        <v>1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51</v>
      </c>
    </row>
    <row r="6" spans="1:8" ht="15.75">
      <c r="A6" s="5"/>
      <c r="B6" s="6"/>
      <c r="C6" s="6"/>
      <c r="D6" s="6"/>
      <c r="E6" s="6"/>
      <c r="F6" s="6"/>
      <c r="G6" s="6"/>
      <c r="H6" s="6"/>
    </row>
    <row r="7" spans="1:8" ht="16.5">
      <c r="A7" s="7" t="s">
        <v>2</v>
      </c>
      <c r="B7" s="8"/>
      <c r="C7" s="8"/>
      <c r="D7" s="8"/>
      <c r="E7" s="8"/>
      <c r="F7" s="8"/>
      <c r="G7" s="8"/>
      <c r="H7" s="8"/>
    </row>
    <row r="8" spans="1:8" ht="15.75">
      <c r="A8" s="9" t="s">
        <v>3</v>
      </c>
      <c r="B8" s="8">
        <v>1000</v>
      </c>
      <c r="C8" s="8">
        <v>1000</v>
      </c>
      <c r="D8" s="8">
        <v>1000</v>
      </c>
      <c r="E8" s="8">
        <v>1000</v>
      </c>
      <c r="F8" s="8">
        <v>1000</v>
      </c>
      <c r="G8" s="8">
        <v>1000</v>
      </c>
      <c r="H8" s="8">
        <v>1000</v>
      </c>
    </row>
    <row r="9" spans="1:8" ht="15.75">
      <c r="A9" s="9" t="s">
        <v>4</v>
      </c>
      <c r="B9" s="32">
        <v>930.33333333333337</v>
      </c>
      <c r="C9" s="32">
        <v>930.33333333333337</v>
      </c>
      <c r="D9" s="33">
        <v>967</v>
      </c>
      <c r="E9" s="33">
        <v>967</v>
      </c>
      <c r="F9" s="33">
        <v>966.6</v>
      </c>
      <c r="G9" s="33">
        <v>966.6</v>
      </c>
      <c r="H9" s="33">
        <v>1036</v>
      </c>
    </row>
    <row r="10" spans="1:8" ht="16.5">
      <c r="A10" s="10" t="s">
        <v>5</v>
      </c>
      <c r="B10" s="11">
        <v>0.93033333333333335</v>
      </c>
      <c r="C10" s="11">
        <v>0.93033333333333335</v>
      </c>
      <c r="D10" s="11">
        <v>0.96699999999999997</v>
      </c>
      <c r="E10" s="11">
        <v>0.96699999999999997</v>
      </c>
      <c r="F10" s="11">
        <v>0.96660000000000001</v>
      </c>
      <c r="G10" s="11">
        <v>0.96660000000000001</v>
      </c>
      <c r="H10" s="11">
        <v>1.036</v>
      </c>
    </row>
    <row r="11" spans="1:8" ht="15">
      <c r="A11" s="12"/>
      <c r="B11" s="32"/>
      <c r="C11" s="32"/>
      <c r="D11" s="32"/>
      <c r="E11" s="32"/>
      <c r="F11" s="32"/>
      <c r="G11" s="32"/>
      <c r="H11" s="32"/>
    </row>
    <row r="12" spans="1:8" ht="16.5">
      <c r="A12" s="13" t="s">
        <v>6</v>
      </c>
      <c r="B12" s="32"/>
      <c r="C12" s="32"/>
      <c r="D12" s="32"/>
      <c r="E12" s="32"/>
      <c r="F12" s="32"/>
      <c r="G12" s="32"/>
      <c r="H12" s="32"/>
    </row>
    <row r="13" spans="1:8" ht="15.75">
      <c r="A13" s="14" t="s">
        <v>7</v>
      </c>
      <c r="B13" s="15">
        <v>345.4</v>
      </c>
      <c r="C13" s="15">
        <v>10362</v>
      </c>
      <c r="D13" s="15">
        <v>356.48387096774195</v>
      </c>
      <c r="E13" s="15">
        <v>11051</v>
      </c>
      <c r="F13" s="15">
        <v>397.4</v>
      </c>
      <c r="G13" s="15">
        <v>11922</v>
      </c>
      <c r="H13" s="15">
        <v>384</v>
      </c>
    </row>
    <row r="14" spans="1:8" ht="15.75">
      <c r="A14" s="14" t="s">
        <v>8</v>
      </c>
      <c r="B14" s="15">
        <v>3003.3666666666668</v>
      </c>
      <c r="C14" s="15">
        <v>90101</v>
      </c>
      <c r="D14" s="15">
        <v>3099.8064516129034</v>
      </c>
      <c r="E14" s="15">
        <v>96094</v>
      </c>
      <c r="F14" s="15">
        <v>3459.6</v>
      </c>
      <c r="G14" s="15">
        <v>103788</v>
      </c>
      <c r="H14" s="15">
        <v>4032</v>
      </c>
    </row>
    <row r="15" spans="1:8" ht="15.75">
      <c r="A15" s="14" t="s">
        <v>9</v>
      </c>
      <c r="B15" s="15">
        <v>260.26666666666665</v>
      </c>
      <c r="C15" s="15">
        <v>7808</v>
      </c>
      <c r="D15" s="15">
        <v>260.51612903225799</v>
      </c>
      <c r="E15" s="15">
        <v>8076</v>
      </c>
      <c r="F15" s="15">
        <v>304.3</v>
      </c>
      <c r="G15" s="15">
        <v>9129</v>
      </c>
      <c r="H15" s="15">
        <v>333</v>
      </c>
    </row>
    <row r="16" spans="1:8" ht="15">
      <c r="A16" s="16" t="s">
        <v>10</v>
      </c>
      <c r="B16" s="17">
        <v>200.76666666666668</v>
      </c>
      <c r="C16" s="17">
        <v>6023</v>
      </c>
      <c r="D16" s="17">
        <v>194.45161290322579</v>
      </c>
      <c r="E16" s="17">
        <v>6028</v>
      </c>
      <c r="F16" s="17">
        <v>232.8</v>
      </c>
      <c r="G16" s="17">
        <v>6984</v>
      </c>
      <c r="H16" s="17">
        <v>261</v>
      </c>
    </row>
    <row r="17" spans="1:8" ht="15">
      <c r="A17" s="16" t="s">
        <v>11</v>
      </c>
      <c r="B17" s="17">
        <v>30.2</v>
      </c>
      <c r="C17" s="17">
        <v>906</v>
      </c>
      <c r="D17" s="17">
        <v>35.58064516129032</v>
      </c>
      <c r="E17" s="17">
        <v>1103</v>
      </c>
      <c r="F17" s="17">
        <v>36.200000000000003</v>
      </c>
      <c r="G17" s="17">
        <v>1086</v>
      </c>
      <c r="H17" s="17">
        <v>36</v>
      </c>
    </row>
    <row r="18" spans="1:8" ht="15">
      <c r="A18" s="16" t="s">
        <v>12</v>
      </c>
      <c r="B18" s="17">
        <v>25.866666666666667</v>
      </c>
      <c r="C18" s="17">
        <v>776</v>
      </c>
      <c r="D18" s="17">
        <v>27</v>
      </c>
      <c r="E18" s="17">
        <v>837</v>
      </c>
      <c r="F18" s="17">
        <v>33.299999999999997</v>
      </c>
      <c r="G18" s="17">
        <v>998.99999999999989</v>
      </c>
      <c r="H18" s="17">
        <v>35</v>
      </c>
    </row>
    <row r="19" spans="1:8" ht="15">
      <c r="A19" s="16" t="s">
        <v>13</v>
      </c>
      <c r="B19" s="17">
        <v>0.76666666666666672</v>
      </c>
      <c r="C19" s="17">
        <v>23</v>
      </c>
      <c r="D19" s="17">
        <v>0.83870967741935487</v>
      </c>
      <c r="E19" s="17">
        <v>26</v>
      </c>
      <c r="F19" s="17">
        <v>0.2</v>
      </c>
      <c r="G19" s="17">
        <v>6</v>
      </c>
      <c r="H19" s="17">
        <v>0</v>
      </c>
    </row>
    <row r="20" spans="1:8" ht="15">
      <c r="A20" s="16" t="s">
        <v>14</v>
      </c>
      <c r="B20" s="17">
        <v>2.6666666666666665</v>
      </c>
      <c r="C20" s="17">
        <v>80</v>
      </c>
      <c r="D20" s="17">
        <v>2.6451612903225805</v>
      </c>
      <c r="E20" s="17">
        <v>82</v>
      </c>
      <c r="F20" s="17">
        <v>1.8</v>
      </c>
      <c r="G20" s="17">
        <v>54</v>
      </c>
      <c r="H20" s="17">
        <v>1</v>
      </c>
    </row>
    <row r="21" spans="1:8" ht="15">
      <c r="A21" s="18"/>
      <c r="B21" s="17"/>
      <c r="C21" s="17"/>
      <c r="D21" s="17"/>
      <c r="E21" s="17"/>
      <c r="F21" s="17"/>
      <c r="G21" s="17"/>
      <c r="H21" s="17"/>
    </row>
    <row r="22" spans="1:8" ht="15">
      <c r="A22" s="18" t="s">
        <v>15</v>
      </c>
      <c r="B22" s="17">
        <v>44.366666666666667</v>
      </c>
      <c r="C22" s="17">
        <v>1331</v>
      </c>
      <c r="D22" s="17">
        <v>44.58064516129032</v>
      </c>
      <c r="E22" s="17">
        <v>1382</v>
      </c>
      <c r="F22" s="17">
        <v>45.4</v>
      </c>
      <c r="G22" s="17">
        <v>1362</v>
      </c>
      <c r="H22" s="17">
        <v>43</v>
      </c>
    </row>
    <row r="23" spans="1:8" ht="15">
      <c r="A23" s="18" t="s">
        <v>16</v>
      </c>
      <c r="B23" s="17">
        <v>74.7</v>
      </c>
      <c r="C23" s="17">
        <v>2241</v>
      </c>
      <c r="D23" s="17">
        <v>80.064516129032256</v>
      </c>
      <c r="E23" s="17">
        <v>2482</v>
      </c>
      <c r="F23" s="17">
        <v>88.9</v>
      </c>
      <c r="G23" s="17">
        <v>2667</v>
      </c>
      <c r="H23" s="17">
        <v>95</v>
      </c>
    </row>
    <row r="24" spans="1:8" ht="15">
      <c r="A24" s="18" t="s">
        <v>17</v>
      </c>
      <c r="B24" s="17">
        <v>129.36666666666667</v>
      </c>
      <c r="C24" s="17">
        <v>3881</v>
      </c>
      <c r="D24" s="17">
        <v>124.6774193548387</v>
      </c>
      <c r="E24" s="17">
        <v>3865</v>
      </c>
      <c r="F24" s="17">
        <v>159</v>
      </c>
      <c r="G24" s="17">
        <v>4770</v>
      </c>
      <c r="H24" s="17">
        <v>187</v>
      </c>
    </row>
    <row r="25" spans="1:8" ht="15">
      <c r="A25" s="18"/>
      <c r="B25" s="17"/>
      <c r="C25" s="17"/>
      <c r="D25" s="17"/>
      <c r="E25" s="17"/>
      <c r="F25" s="17"/>
      <c r="G25" s="17"/>
      <c r="H25" s="17"/>
    </row>
    <row r="26" spans="1:8" ht="15.75">
      <c r="A26" s="14" t="s">
        <v>18</v>
      </c>
      <c r="B26" s="15">
        <v>262.5</v>
      </c>
      <c r="C26" s="15">
        <v>7875</v>
      </c>
      <c r="D26" s="15">
        <v>261.03225806451616</v>
      </c>
      <c r="E26" s="15">
        <v>8092</v>
      </c>
      <c r="F26" s="15">
        <v>291.5</v>
      </c>
      <c r="G26" s="15">
        <v>8745</v>
      </c>
      <c r="H26" s="15">
        <v>299</v>
      </c>
    </row>
    <row r="27" spans="1:8" ht="15">
      <c r="A27" s="19" t="s">
        <v>10</v>
      </c>
      <c r="B27" s="17">
        <v>193.6</v>
      </c>
      <c r="C27" s="17">
        <v>5808</v>
      </c>
      <c r="D27" s="17">
        <v>189.64516129032259</v>
      </c>
      <c r="E27" s="17">
        <v>5879</v>
      </c>
      <c r="F27" s="17">
        <v>217.3</v>
      </c>
      <c r="G27" s="17">
        <v>6519</v>
      </c>
      <c r="H27" s="17">
        <v>235</v>
      </c>
    </row>
    <row r="28" spans="1:8" ht="15">
      <c r="A28" s="19" t="s">
        <v>11</v>
      </c>
      <c r="B28" s="17">
        <v>38.43333333333333</v>
      </c>
      <c r="C28" s="17">
        <v>1153</v>
      </c>
      <c r="D28" s="17">
        <v>39.903225806451616</v>
      </c>
      <c r="E28" s="17">
        <v>1237</v>
      </c>
      <c r="F28" s="17">
        <v>40.200000000000003</v>
      </c>
      <c r="G28" s="17">
        <v>1206</v>
      </c>
      <c r="H28" s="17">
        <v>37</v>
      </c>
    </row>
    <row r="29" spans="1:8" ht="15">
      <c r="A29" s="19" t="s">
        <v>12</v>
      </c>
      <c r="B29" s="17">
        <v>26.8</v>
      </c>
      <c r="C29" s="17">
        <v>804</v>
      </c>
      <c r="D29" s="17">
        <v>27.161290322580644</v>
      </c>
      <c r="E29" s="17">
        <v>842</v>
      </c>
      <c r="F29" s="17">
        <v>31.2</v>
      </c>
      <c r="G29" s="17">
        <v>936</v>
      </c>
      <c r="H29" s="17">
        <v>26</v>
      </c>
    </row>
    <row r="30" spans="1:8" ht="15">
      <c r="A30" s="19" t="s">
        <v>13</v>
      </c>
      <c r="B30" s="17">
        <v>0.8666666666666667</v>
      </c>
      <c r="C30" s="17">
        <v>26</v>
      </c>
      <c r="D30" s="17">
        <v>0.67741935483870963</v>
      </c>
      <c r="E30" s="17">
        <v>21</v>
      </c>
      <c r="F30" s="17">
        <v>0.3</v>
      </c>
      <c r="G30" s="17">
        <v>9</v>
      </c>
      <c r="H30" s="17">
        <v>0</v>
      </c>
    </row>
    <row r="31" spans="1:8" ht="15">
      <c r="A31" s="20" t="s">
        <v>19</v>
      </c>
      <c r="B31" s="21">
        <v>2.8</v>
      </c>
      <c r="C31" s="21">
        <v>84</v>
      </c>
      <c r="D31" s="21">
        <v>3.6451612903225805</v>
      </c>
      <c r="E31" s="21">
        <v>113</v>
      </c>
      <c r="F31" s="21">
        <v>2.5</v>
      </c>
      <c r="G31" s="21">
        <v>75</v>
      </c>
      <c r="H31" s="21">
        <v>1</v>
      </c>
    </row>
    <row r="32" spans="1:8" ht="15">
      <c r="A32" s="18"/>
      <c r="B32" s="17"/>
      <c r="C32" s="17"/>
      <c r="D32" s="17"/>
      <c r="E32" s="17"/>
      <c r="F32" s="17"/>
      <c r="G32" s="17"/>
      <c r="H32" s="17"/>
    </row>
    <row r="33" spans="1:8" ht="15">
      <c r="A33" s="18" t="s">
        <v>20</v>
      </c>
      <c r="B33" s="17">
        <v>22.033333333333335</v>
      </c>
      <c r="C33" s="17">
        <v>661</v>
      </c>
      <c r="D33" s="17">
        <v>21.258064516129032</v>
      </c>
      <c r="E33" s="17">
        <v>659</v>
      </c>
      <c r="F33" s="17">
        <v>24.8</v>
      </c>
      <c r="G33" s="17">
        <v>744</v>
      </c>
      <c r="H33" s="17">
        <v>12</v>
      </c>
    </row>
    <row r="34" spans="1:8" ht="15">
      <c r="A34" s="18"/>
      <c r="B34" s="17"/>
      <c r="C34" s="17"/>
      <c r="D34" s="17"/>
      <c r="E34" s="17"/>
      <c r="F34" s="17"/>
      <c r="G34" s="17"/>
      <c r="H34" s="17"/>
    </row>
    <row r="35" spans="1:8" ht="16.5">
      <c r="A35" s="22" t="s">
        <v>21</v>
      </c>
      <c r="B35" s="15"/>
      <c r="C35" s="15"/>
      <c r="D35" s="15"/>
      <c r="E35" s="15"/>
      <c r="F35" s="15"/>
      <c r="G35" s="15"/>
      <c r="H35" s="15"/>
    </row>
    <row r="36" spans="1:8" ht="15.75">
      <c r="A36" s="9" t="s">
        <v>22</v>
      </c>
      <c r="B36" s="15">
        <v>7779345.0696666678</v>
      </c>
      <c r="C36" s="15">
        <v>233380352.09000003</v>
      </c>
      <c r="D36" s="15">
        <v>7946354.1077419352</v>
      </c>
      <c r="E36" s="15">
        <v>246336977.34</v>
      </c>
      <c r="F36" s="15">
        <v>8915121.3630000018</v>
      </c>
      <c r="G36" s="15">
        <v>267453640.89000005</v>
      </c>
      <c r="H36" s="15">
        <v>9983407.129999999</v>
      </c>
    </row>
    <row r="37" spans="1:8" ht="15.75">
      <c r="A37" s="9" t="s">
        <v>23</v>
      </c>
      <c r="B37" s="15">
        <v>18815569.685999997</v>
      </c>
      <c r="C37" s="15">
        <v>564467090.57999992</v>
      </c>
      <c r="D37" s="15">
        <v>18455359.695483871</v>
      </c>
      <c r="E37" s="15">
        <v>572116150.55999994</v>
      </c>
      <c r="F37" s="15">
        <v>19919295.281999998</v>
      </c>
      <c r="G37" s="15">
        <v>597578858.45999992</v>
      </c>
      <c r="H37" s="15">
        <v>15108091.449999999</v>
      </c>
    </row>
    <row r="38" spans="1:8" ht="16.5">
      <c r="A38" s="23" t="s">
        <v>24</v>
      </c>
      <c r="B38" s="24">
        <v>26594914.755666666</v>
      </c>
      <c r="C38" s="24">
        <v>797847442.66999996</v>
      </c>
      <c r="D38" s="24">
        <v>26401713.803225808</v>
      </c>
      <c r="E38" s="24">
        <v>818453127.89999998</v>
      </c>
      <c r="F38" s="24">
        <v>28834416.645</v>
      </c>
      <c r="G38" s="24">
        <v>865032499.3499999</v>
      </c>
      <c r="H38" s="24">
        <v>25091498.579999998</v>
      </c>
    </row>
    <row r="39" spans="1:8" ht="15">
      <c r="A39" s="25"/>
      <c r="B39" s="17"/>
      <c r="C39" s="17"/>
      <c r="D39" s="17"/>
      <c r="E39" s="17"/>
      <c r="F39" s="17"/>
      <c r="G39" s="17"/>
      <c r="H39" s="17"/>
    </row>
    <row r="40" spans="1:8" ht="16.5">
      <c r="A40" s="22" t="s">
        <v>21</v>
      </c>
      <c r="B40" s="17"/>
      <c r="C40" s="17"/>
      <c r="D40" s="17"/>
      <c r="E40" s="17"/>
      <c r="F40" s="17"/>
      <c r="G40" s="17"/>
      <c r="H40" s="17"/>
    </row>
    <row r="41" spans="1:8" ht="15">
      <c r="A41" s="16" t="s">
        <v>25</v>
      </c>
      <c r="B41" s="17">
        <v>25148845.672000002</v>
      </c>
      <c r="C41" s="17">
        <v>754465370.16000009</v>
      </c>
      <c r="D41" s="17">
        <v>24937813.347096771</v>
      </c>
      <c r="E41" s="17">
        <v>773072213.75999999</v>
      </c>
      <c r="F41" s="17">
        <v>27902104.718000002</v>
      </c>
      <c r="G41" s="17">
        <v>837063141.5400002</v>
      </c>
      <c r="H41" s="17">
        <v>23770760.449999996</v>
      </c>
    </row>
    <row r="42" spans="1:8" ht="15">
      <c r="A42" s="16" t="s">
        <v>26</v>
      </c>
      <c r="B42" s="17">
        <v>1446069.0843333332</v>
      </c>
      <c r="C42" s="17">
        <v>43382072.529999994</v>
      </c>
      <c r="D42" s="17">
        <v>1463900.4564516128</v>
      </c>
      <c r="E42" s="17">
        <v>45380914.149999999</v>
      </c>
      <c r="F42" s="17">
        <v>932311.92699999991</v>
      </c>
      <c r="G42" s="17">
        <v>27969357.810000002</v>
      </c>
      <c r="H42" s="17">
        <v>1320738.1299999999</v>
      </c>
    </row>
    <row r="43" spans="1:8" ht="16.5">
      <c r="A43" s="23" t="s">
        <v>24</v>
      </c>
      <c r="B43" s="24">
        <v>26594914.756333336</v>
      </c>
      <c r="C43" s="24">
        <v>797847442.69000006</v>
      </c>
      <c r="D43" s="24">
        <v>26401713.803548384</v>
      </c>
      <c r="E43" s="24">
        <v>818453127.90999997</v>
      </c>
      <c r="F43" s="24">
        <v>28834416.645000003</v>
      </c>
      <c r="G43" s="24">
        <v>865032499.35000014</v>
      </c>
      <c r="H43" s="24">
        <v>25091498.579999994</v>
      </c>
    </row>
    <row r="44" spans="1:8" ht="15">
      <c r="A44" s="25"/>
      <c r="B44" s="17"/>
      <c r="C44" s="17"/>
      <c r="D44" s="17"/>
      <c r="E44" s="17"/>
      <c r="F44" s="17"/>
      <c r="G44" s="17"/>
      <c r="H44" s="17"/>
    </row>
    <row r="45" spans="1:8" ht="16.5">
      <c r="A45" s="22" t="s">
        <v>21</v>
      </c>
      <c r="B45" s="17"/>
      <c r="C45" s="17"/>
      <c r="D45" s="17"/>
      <c r="E45" s="17"/>
      <c r="F45" s="17"/>
      <c r="G45" s="17"/>
      <c r="H45" s="17"/>
    </row>
    <row r="46" spans="1:8" ht="16.5">
      <c r="A46" s="22"/>
      <c r="B46" s="17"/>
      <c r="C46" s="17"/>
      <c r="D46" s="17"/>
      <c r="E46" s="17"/>
      <c r="F46" s="17"/>
      <c r="G46" s="17"/>
      <c r="H46" s="17"/>
    </row>
    <row r="47" spans="1:8" ht="18">
      <c r="A47" s="26" t="s">
        <v>27</v>
      </c>
      <c r="B47" s="15"/>
      <c r="C47" s="15"/>
      <c r="D47" s="15"/>
      <c r="E47" s="15"/>
      <c r="F47" s="15"/>
      <c r="G47" s="15"/>
      <c r="H47" s="15"/>
    </row>
    <row r="48" spans="1:8" ht="15.75">
      <c r="A48" s="9" t="s">
        <v>25</v>
      </c>
      <c r="B48" s="15">
        <v>15356913.085000003</v>
      </c>
      <c r="C48" s="15">
        <v>460707392.55000007</v>
      </c>
      <c r="D48" s="15">
        <v>14745637.771290321</v>
      </c>
      <c r="E48" s="15">
        <v>457114770.90999997</v>
      </c>
      <c r="F48" s="15">
        <v>16511867.800000003</v>
      </c>
      <c r="G48" s="15">
        <v>495356034.00000006</v>
      </c>
      <c r="H48" s="15">
        <v>15705080.739999996</v>
      </c>
    </row>
    <row r="49" spans="1:8" ht="15.75">
      <c r="A49" s="9" t="s">
        <v>26</v>
      </c>
      <c r="B49" s="15">
        <v>312972.73099999991</v>
      </c>
      <c r="C49" s="15">
        <v>9389181.9299999978</v>
      </c>
      <c r="D49" s="15">
        <v>479109.62870967743</v>
      </c>
      <c r="E49" s="15">
        <v>14852398.49</v>
      </c>
      <c r="F49" s="15">
        <v>279652.17700000003</v>
      </c>
      <c r="G49" s="15">
        <v>8389565.3100000005</v>
      </c>
      <c r="H49" s="15">
        <v>180725</v>
      </c>
    </row>
    <row r="50" spans="1:8" ht="15">
      <c r="A50" s="16"/>
      <c r="B50" s="15"/>
      <c r="C50" s="15"/>
      <c r="D50" s="15"/>
      <c r="E50" s="15"/>
      <c r="F50" s="15"/>
      <c r="G50" s="15"/>
      <c r="H50" s="15"/>
    </row>
    <row r="51" spans="1:8" ht="18">
      <c r="A51" s="26" t="s">
        <v>28</v>
      </c>
      <c r="B51" s="15"/>
      <c r="C51" s="15"/>
      <c r="D51" s="15"/>
      <c r="E51" s="15"/>
      <c r="F51" s="15"/>
      <c r="G51" s="15"/>
      <c r="H51" s="15"/>
    </row>
    <row r="52" spans="1:8" ht="15.75">
      <c r="A52" s="9" t="s">
        <v>25</v>
      </c>
      <c r="B52" s="15">
        <v>9791932.5869999994</v>
      </c>
      <c r="C52" s="15">
        <v>293757977.61000001</v>
      </c>
      <c r="D52" s="15">
        <v>10192175.57580645</v>
      </c>
      <c r="E52" s="15">
        <v>315957442.84999996</v>
      </c>
      <c r="F52" s="15">
        <v>11390236.918</v>
      </c>
      <c r="G52" s="15">
        <v>341707107.54000008</v>
      </c>
      <c r="H52" s="15">
        <v>8065679.7100000009</v>
      </c>
    </row>
    <row r="53" spans="1:8" ht="15">
      <c r="A53" s="16" t="s">
        <v>29</v>
      </c>
      <c r="B53" s="17">
        <v>2956538.4573333329</v>
      </c>
      <c r="C53" s="17">
        <v>88696153.719999984</v>
      </c>
      <c r="D53" s="17">
        <v>2837884.3412903226</v>
      </c>
      <c r="E53" s="17">
        <v>87974414.579999998</v>
      </c>
      <c r="F53" s="17">
        <v>3470220.4620000003</v>
      </c>
      <c r="G53" s="17">
        <v>104106613.86000001</v>
      </c>
      <c r="H53" s="17">
        <v>2555230.2200000007</v>
      </c>
    </row>
    <row r="54" spans="1:8" ht="15">
      <c r="A54" s="16" t="s">
        <v>30</v>
      </c>
      <c r="B54" s="17">
        <v>114988.73699999999</v>
      </c>
      <c r="C54" s="17">
        <v>3449662.11</v>
      </c>
      <c r="D54" s="17">
        <v>115145.89548387098</v>
      </c>
      <c r="E54" s="17">
        <v>3569522.7600000002</v>
      </c>
      <c r="F54" s="17">
        <v>84860.396999999997</v>
      </c>
      <c r="G54" s="17">
        <v>2545811.91</v>
      </c>
      <c r="H54" s="17">
        <v>0</v>
      </c>
    </row>
    <row r="55" spans="1:8" ht="15">
      <c r="A55" s="16" t="s">
        <v>31</v>
      </c>
      <c r="B55" s="17">
        <v>5792975.1653333334</v>
      </c>
      <c r="C55" s="17">
        <v>173789254.96000001</v>
      </c>
      <c r="D55" s="17">
        <v>6153580.188387095</v>
      </c>
      <c r="E55" s="17">
        <v>190760985.83999994</v>
      </c>
      <c r="F55" s="17">
        <v>7001527.0180000011</v>
      </c>
      <c r="G55" s="17">
        <v>210045810.54000002</v>
      </c>
      <c r="H55" s="17">
        <v>5101739.49</v>
      </c>
    </row>
    <row r="56" spans="1:8" ht="15">
      <c r="A56" s="16" t="s">
        <v>32</v>
      </c>
      <c r="B56" s="17">
        <v>927430.22733333323</v>
      </c>
      <c r="C56" s="17">
        <v>27822906.819999997</v>
      </c>
      <c r="D56" s="17">
        <v>1085565.150645161</v>
      </c>
      <c r="E56" s="17">
        <v>33652519.669999994</v>
      </c>
      <c r="F56" s="17">
        <v>833629.04099999997</v>
      </c>
      <c r="G56" s="17">
        <v>25008871.23</v>
      </c>
      <c r="H56" s="17">
        <v>408710</v>
      </c>
    </row>
    <row r="57" spans="1:8" ht="15">
      <c r="A57" s="16"/>
      <c r="B57" s="17"/>
      <c r="C57" s="17"/>
      <c r="D57" s="17"/>
      <c r="E57" s="17"/>
      <c r="F57" s="17"/>
      <c r="G57" s="17"/>
      <c r="H57" s="17"/>
    </row>
    <row r="58" spans="1:8" ht="15.75">
      <c r="A58" s="9" t="s">
        <v>26</v>
      </c>
      <c r="B58" s="15">
        <v>1133096.3533333333</v>
      </c>
      <c r="C58" s="15">
        <v>33992890.599999994</v>
      </c>
      <c r="D58" s="15">
        <v>984790.82774193527</v>
      </c>
      <c r="E58" s="15">
        <v>30528515.659999996</v>
      </c>
      <c r="F58" s="15">
        <v>652659.74999999988</v>
      </c>
      <c r="G58" s="15">
        <v>19579792.5</v>
      </c>
      <c r="H58" s="15">
        <v>1140013.1299999999</v>
      </c>
    </row>
    <row r="59" spans="1:8" ht="15">
      <c r="A59" s="16" t="s">
        <v>33</v>
      </c>
      <c r="B59" s="17">
        <v>1041864.0303333332</v>
      </c>
      <c r="C59" s="17">
        <v>31255920.909999996</v>
      </c>
      <c r="D59" s="17">
        <v>707343.24677419337</v>
      </c>
      <c r="E59" s="17">
        <v>21927640.649999995</v>
      </c>
      <c r="F59" s="17">
        <v>493198.69099999993</v>
      </c>
      <c r="G59" s="17">
        <v>14795960.729999999</v>
      </c>
      <c r="H59" s="17">
        <v>124740.02</v>
      </c>
    </row>
    <row r="60" spans="1:8" ht="15">
      <c r="A60" s="16" t="s">
        <v>32</v>
      </c>
      <c r="B60" s="17">
        <v>91232.323000000004</v>
      </c>
      <c r="C60" s="17">
        <v>2736969.69</v>
      </c>
      <c r="D60" s="17">
        <v>277447.5809677419</v>
      </c>
      <c r="E60" s="17">
        <v>8600875.0099999998</v>
      </c>
      <c r="F60" s="17">
        <v>159461.05899999998</v>
      </c>
      <c r="G60" s="17">
        <v>4783831.7699999996</v>
      </c>
      <c r="H60" s="17">
        <v>1015273.11</v>
      </c>
    </row>
    <row r="61" spans="1:8" ht="16.5">
      <c r="A61" s="23" t="s">
        <v>24</v>
      </c>
      <c r="B61" s="24">
        <v>26594914.756333336</v>
      </c>
      <c r="C61" s="24">
        <v>797847442.69000018</v>
      </c>
      <c r="D61" s="24">
        <v>26401713.803548384</v>
      </c>
      <c r="E61" s="24">
        <v>818453127.90999997</v>
      </c>
      <c r="F61" s="24">
        <v>28834416.645000003</v>
      </c>
      <c r="G61" s="24">
        <v>865032499.35000014</v>
      </c>
      <c r="H61" s="24">
        <v>25091498.579999994</v>
      </c>
    </row>
    <row r="62" spans="1:8" ht="15">
      <c r="A62" s="25"/>
      <c r="B62" s="15"/>
      <c r="C62" s="15"/>
      <c r="D62" s="15"/>
      <c r="E62" s="15"/>
      <c r="F62" s="15"/>
      <c r="G62" s="15"/>
      <c r="H62" s="15"/>
    </row>
    <row r="63" spans="1:8" ht="19.5">
      <c r="A63" s="25"/>
      <c r="B63" s="31"/>
      <c r="C63" s="31"/>
      <c r="D63" s="31"/>
      <c r="E63" s="31"/>
      <c r="F63" s="31"/>
      <c r="G63" s="31"/>
      <c r="H63" s="31"/>
    </row>
    <row r="64" spans="1:8" ht="16.5">
      <c r="A64" s="27" t="s">
        <v>34</v>
      </c>
      <c r="B64" s="28">
        <v>8167677.291333341</v>
      </c>
      <c r="C64" s="28">
        <v>245030318.74000022</v>
      </c>
      <c r="D64" s="28">
        <v>8148915.1151612997</v>
      </c>
      <c r="E64" s="28">
        <v>252616368.57000029</v>
      </c>
      <c r="F64" s="28">
        <v>8358551.0010000076</v>
      </c>
      <c r="G64" s="28">
        <v>250756530.03000024</v>
      </c>
      <c r="H64" s="28">
        <v>9188686.1500000209</v>
      </c>
    </row>
    <row r="65" spans="1:8" ht="16.5">
      <c r="A65" s="22"/>
      <c r="B65" s="15"/>
      <c r="C65" s="15"/>
      <c r="D65" s="15"/>
      <c r="E65" s="15"/>
      <c r="F65" s="15"/>
      <c r="G65" s="15"/>
      <c r="H65" s="15"/>
    </row>
    <row r="66" spans="1:8" ht="15">
      <c r="A66" s="25"/>
      <c r="B66" s="17"/>
      <c r="C66" s="17"/>
      <c r="D66" s="17"/>
      <c r="E66" s="17"/>
      <c r="F66" s="17"/>
      <c r="G66" s="17"/>
      <c r="H66" s="17"/>
    </row>
    <row r="67" spans="1:8" ht="16.5">
      <c r="A67" s="23" t="s">
        <v>35</v>
      </c>
      <c r="B67" s="24">
        <v>18427237.464999996</v>
      </c>
      <c r="C67" s="24">
        <v>552817123.94999993</v>
      </c>
      <c r="D67" s="24">
        <v>18252798.688387085</v>
      </c>
      <c r="E67" s="24">
        <v>565836759.33999968</v>
      </c>
      <c r="F67" s="24">
        <v>20475865.643999994</v>
      </c>
      <c r="G67" s="24">
        <v>614275969.31999993</v>
      </c>
      <c r="H67" s="24">
        <v>15902812.429999974</v>
      </c>
    </row>
    <row r="68" spans="1:8" ht="15">
      <c r="A68" s="25"/>
      <c r="B68" s="17"/>
      <c r="C68" s="17"/>
      <c r="D68" s="17"/>
      <c r="E68" s="17"/>
      <c r="F68" s="17"/>
      <c r="G68" s="17"/>
      <c r="H68" s="17"/>
    </row>
    <row r="69" spans="1:8" ht="15">
      <c r="A69" s="25"/>
      <c r="B69" s="17"/>
      <c r="C69" s="17"/>
      <c r="D69" s="17"/>
      <c r="E69" s="17"/>
      <c r="F69" s="17"/>
      <c r="G69" s="17"/>
      <c r="H69" s="17"/>
    </row>
    <row r="70" spans="1:8" ht="16.5">
      <c r="A70" s="22" t="s">
        <v>36</v>
      </c>
      <c r="B70" s="15"/>
      <c r="C70" s="15"/>
      <c r="D70" s="15"/>
      <c r="E70" s="15"/>
      <c r="F70" s="15"/>
      <c r="G70" s="15"/>
      <c r="H70" s="15"/>
    </row>
    <row r="71" spans="1:8" ht="15">
      <c r="A71" s="16" t="s">
        <v>37</v>
      </c>
      <c r="B71" s="17">
        <f t="shared" ref="B71:B76" si="0">+C71/30</f>
        <v>5910105.9333399972</v>
      </c>
      <c r="C71" s="17">
        <v>177303178.00019991</v>
      </c>
      <c r="D71" s="17">
        <v>5866329.9354838692</v>
      </c>
      <c r="E71" s="17">
        <v>181856227.99999994</v>
      </c>
      <c r="F71" s="17">
        <v>5714905.5999999996</v>
      </c>
      <c r="G71" s="17">
        <v>171447168</v>
      </c>
      <c r="H71" s="17">
        <v>6455224.9999999963</v>
      </c>
    </row>
    <row r="72" spans="1:8" ht="15">
      <c r="A72" s="16" t="s">
        <v>38</v>
      </c>
      <c r="B72" s="17">
        <f t="shared" si="0"/>
        <v>11196551.166666666</v>
      </c>
      <c r="C72" s="17">
        <v>335896535</v>
      </c>
      <c r="D72" s="17">
        <v>10592793.677419355</v>
      </c>
      <c r="E72" s="17">
        <v>328376604</v>
      </c>
      <c r="F72" s="17">
        <v>11631214.5</v>
      </c>
      <c r="G72" s="17">
        <v>348936435</v>
      </c>
      <c r="H72" s="17">
        <v>12475732</v>
      </c>
    </row>
    <row r="73" spans="1:8" ht="15">
      <c r="A73" s="16" t="s">
        <v>39</v>
      </c>
      <c r="B73" s="17">
        <f t="shared" si="0"/>
        <v>14119849.986333333</v>
      </c>
      <c r="C73" s="17">
        <v>423595499.58999997</v>
      </c>
      <c r="D73" s="17">
        <v>12954746.589999998</v>
      </c>
      <c r="E73" s="17">
        <v>402540199.28999996</v>
      </c>
      <c r="F73" s="17">
        <v>9594084.0699999984</v>
      </c>
      <c r="G73" s="17">
        <v>287822522.09999996</v>
      </c>
      <c r="H73" s="17">
        <v>16605883.300000003</v>
      </c>
    </row>
    <row r="74" spans="1:8" ht="15">
      <c r="A74" s="16" t="s">
        <v>40</v>
      </c>
      <c r="B74" s="17">
        <f t="shared" si="0"/>
        <v>0</v>
      </c>
      <c r="C74" s="17">
        <v>0</v>
      </c>
      <c r="D74" s="17">
        <v>577.29032258064512</v>
      </c>
      <c r="E74" s="17">
        <v>17896</v>
      </c>
      <c r="F74" s="17">
        <v>0</v>
      </c>
      <c r="G74" s="17">
        <v>0</v>
      </c>
      <c r="H74" s="17">
        <v>0</v>
      </c>
    </row>
    <row r="75" spans="1:8" ht="15">
      <c r="A75" s="29" t="s">
        <v>41</v>
      </c>
      <c r="B75" s="17">
        <f t="shared" si="0"/>
        <v>58626.23333333333</v>
      </c>
      <c r="C75" s="17">
        <v>1758787</v>
      </c>
      <c r="D75" s="17">
        <v>33986.806451612902</v>
      </c>
      <c r="E75" s="17">
        <v>1053591</v>
      </c>
      <c r="F75" s="17">
        <v>235945.3</v>
      </c>
      <c r="G75" s="17">
        <v>7078359</v>
      </c>
      <c r="H75" s="17">
        <v>222388</v>
      </c>
    </row>
    <row r="76" spans="1:8" ht="15">
      <c r="A76" s="29" t="s">
        <v>42</v>
      </c>
      <c r="B76" s="17">
        <f t="shared" si="0"/>
        <v>1888063.8</v>
      </c>
      <c r="C76" s="17">
        <v>56641914</v>
      </c>
      <c r="D76" s="17">
        <v>2239699.4954838711</v>
      </c>
      <c r="E76" s="17">
        <v>69430684.359999999</v>
      </c>
      <c r="F76" s="17">
        <v>2174321.6</v>
      </c>
      <c r="G76" s="17">
        <v>65229648</v>
      </c>
      <c r="H76" s="17">
        <v>1925785</v>
      </c>
    </row>
    <row r="77" spans="1:8" ht="17.25" thickBot="1">
      <c r="A77" s="30" t="s">
        <v>43</v>
      </c>
      <c r="B77" s="24">
        <f>+B71+B72+B73+B74-B75-B76</f>
        <v>29279817.05300666</v>
      </c>
      <c r="C77" s="24">
        <f>+C71+C72+C73+C74-C75-C76</f>
        <v>878394511.59019995</v>
      </c>
      <c r="D77" s="24">
        <v>27140761.191290319</v>
      </c>
      <c r="E77" s="24">
        <v>842306651.92999995</v>
      </c>
      <c r="F77" s="24">
        <v>24529937.27</v>
      </c>
      <c r="G77" s="24">
        <v>735898118.0999999</v>
      </c>
      <c r="H77" s="24">
        <v>33388667.299999997</v>
      </c>
    </row>
    <row r="78" spans="1:8">
      <c r="E78" s="35"/>
    </row>
    <row r="81" spans="8:9">
      <c r="H81" s="34"/>
      <c r="I81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80"/>
  <sheetViews>
    <sheetView tabSelected="1" topLeftCell="U2" zoomScaleNormal="100" workbookViewId="0">
      <selection activeCell="AB88" sqref="AB88"/>
    </sheetView>
  </sheetViews>
  <sheetFormatPr defaultRowHeight="14.25"/>
  <cols>
    <col min="2" max="2" width="45.625" bestFit="1" customWidth="1"/>
    <col min="3" max="35" width="13.875" customWidth="1"/>
    <col min="36" max="36" width="11.625" customWidth="1"/>
  </cols>
  <sheetData>
    <row r="3" spans="1:35" ht="20.25">
      <c r="B3" s="40" t="s">
        <v>0</v>
      </c>
    </row>
    <row r="4" spans="1:35" ht="21" thickBot="1">
      <c r="B4" s="41" t="s">
        <v>66</v>
      </c>
    </row>
    <row r="5" spans="1:35" ht="60.75" customHeight="1" thickBot="1">
      <c r="A5" s="59" t="s">
        <v>72</v>
      </c>
      <c r="B5" s="42" t="s">
        <v>1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59</v>
      </c>
      <c r="I5" s="4" t="s">
        <v>60</v>
      </c>
      <c r="J5" s="4" t="s">
        <v>64</v>
      </c>
      <c r="K5" s="4" t="s">
        <v>61</v>
      </c>
      <c r="L5" s="4" t="s">
        <v>51</v>
      </c>
      <c r="M5" s="4" t="s">
        <v>62</v>
      </c>
      <c r="N5" s="4" t="s">
        <v>63</v>
      </c>
      <c r="O5" s="4" t="s">
        <v>52</v>
      </c>
      <c r="P5" s="4" t="s">
        <v>53</v>
      </c>
      <c r="Q5" s="4" t="s">
        <v>65</v>
      </c>
      <c r="R5" s="4" t="s">
        <v>67</v>
      </c>
      <c r="S5" s="4" t="s">
        <v>68</v>
      </c>
      <c r="T5" s="4" t="s">
        <v>70</v>
      </c>
      <c r="U5" s="4" t="s">
        <v>71</v>
      </c>
      <c r="V5" s="4" t="s">
        <v>73</v>
      </c>
      <c r="W5" s="4" t="s">
        <v>74</v>
      </c>
      <c r="X5" s="4" t="s">
        <v>75</v>
      </c>
      <c r="Y5" s="4" t="s">
        <v>76</v>
      </c>
      <c r="Z5" s="4" t="s">
        <v>77</v>
      </c>
      <c r="AA5" s="4" t="s">
        <v>78</v>
      </c>
      <c r="AB5" s="4" t="s">
        <v>79</v>
      </c>
      <c r="AC5" s="4" t="s">
        <v>82</v>
      </c>
      <c r="AD5" s="4" t="s">
        <v>83</v>
      </c>
      <c r="AE5" s="4" t="s">
        <v>84</v>
      </c>
      <c r="AF5" s="4" t="s">
        <v>85</v>
      </c>
      <c r="AG5" s="4" t="s">
        <v>81</v>
      </c>
      <c r="AH5" s="4" t="s">
        <v>48</v>
      </c>
      <c r="AI5" s="4" t="s">
        <v>80</v>
      </c>
    </row>
    <row r="6" spans="1:35" ht="15.75">
      <c r="A6" s="57"/>
      <c r="B6" s="4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16.5">
      <c r="A7" s="58">
        <v>1</v>
      </c>
      <c r="B7" s="44" t="s">
        <v>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5" ht="15.75">
      <c r="A8" s="58">
        <v>2</v>
      </c>
      <c r="B8" s="45" t="s">
        <v>3</v>
      </c>
      <c r="C8" s="8">
        <v>1000</v>
      </c>
      <c r="D8" s="8">
        <v>1000</v>
      </c>
      <c r="E8" s="8">
        <v>1000</v>
      </c>
      <c r="F8" s="8">
        <v>1000</v>
      </c>
      <c r="G8" s="8">
        <v>1000</v>
      </c>
      <c r="H8" s="8">
        <v>1000</v>
      </c>
      <c r="I8" s="8">
        <v>1000</v>
      </c>
      <c r="J8" s="8">
        <v>1000</v>
      </c>
      <c r="K8" s="8">
        <v>1000</v>
      </c>
      <c r="L8" s="8">
        <v>1000</v>
      </c>
      <c r="M8" s="8">
        <v>1000</v>
      </c>
      <c r="N8" s="8">
        <v>1000</v>
      </c>
      <c r="O8" s="8">
        <v>1000</v>
      </c>
      <c r="P8" s="8">
        <v>1000</v>
      </c>
      <c r="Q8" s="8">
        <v>1000</v>
      </c>
      <c r="R8" s="8">
        <v>1000</v>
      </c>
      <c r="S8" s="8">
        <v>1000</v>
      </c>
      <c r="T8" s="8">
        <v>1000</v>
      </c>
      <c r="U8" s="8">
        <v>1000</v>
      </c>
      <c r="V8" s="8">
        <v>1000</v>
      </c>
      <c r="W8" s="8">
        <v>1000</v>
      </c>
      <c r="X8" s="8">
        <v>1000</v>
      </c>
      <c r="Y8" s="8">
        <v>1000</v>
      </c>
      <c r="Z8" s="8">
        <v>1000</v>
      </c>
      <c r="AA8" s="8">
        <v>1000</v>
      </c>
      <c r="AB8" s="8">
        <v>1000</v>
      </c>
      <c r="AC8" s="8">
        <v>1000</v>
      </c>
      <c r="AD8" s="8">
        <v>1000</v>
      </c>
      <c r="AE8" s="8">
        <v>1000</v>
      </c>
      <c r="AF8" s="8">
        <v>1000</v>
      </c>
      <c r="AG8" s="8">
        <f>SUM(C8:AF8)</f>
        <v>30000</v>
      </c>
      <c r="AH8" s="8">
        <f>AG8/30</f>
        <v>1000</v>
      </c>
      <c r="AI8" s="8">
        <f>+AH8</f>
        <v>1000</v>
      </c>
    </row>
    <row r="9" spans="1:35" ht="15.75">
      <c r="A9" s="58">
        <v>3</v>
      </c>
      <c r="B9" s="45" t="s">
        <v>4</v>
      </c>
      <c r="C9" s="8">
        <v>947</v>
      </c>
      <c r="D9" s="8">
        <v>976</v>
      </c>
      <c r="E9" s="8">
        <v>985</v>
      </c>
      <c r="F9" s="8">
        <v>978</v>
      </c>
      <c r="G9" s="8">
        <v>961</v>
      </c>
      <c r="H9" s="8">
        <v>872</v>
      </c>
      <c r="I9" s="8">
        <v>929</v>
      </c>
      <c r="J9" s="8">
        <v>978</v>
      </c>
      <c r="K9" s="8">
        <v>1004</v>
      </c>
      <c r="L9" s="8">
        <v>1036</v>
      </c>
      <c r="M9" s="8">
        <v>1049</v>
      </c>
      <c r="N9" s="8">
        <v>1042</v>
      </c>
      <c r="O9" s="8">
        <v>966</v>
      </c>
      <c r="P9" s="8">
        <v>1004</v>
      </c>
      <c r="Q9" s="8">
        <v>995</v>
      </c>
      <c r="R9" s="8">
        <v>1015</v>
      </c>
      <c r="S9" s="8">
        <v>1042</v>
      </c>
      <c r="T9" s="8">
        <v>1028</v>
      </c>
      <c r="U9" s="8">
        <v>1028</v>
      </c>
      <c r="V9" s="8">
        <v>891</v>
      </c>
      <c r="W9" s="8">
        <v>966</v>
      </c>
      <c r="X9" s="8">
        <v>1002</v>
      </c>
      <c r="Y9" s="8">
        <v>1014</v>
      </c>
      <c r="Z9" s="8">
        <v>1005</v>
      </c>
      <c r="AA9" s="8">
        <v>998</v>
      </c>
      <c r="AB9" s="8">
        <v>1005</v>
      </c>
      <c r="AC9" s="8">
        <v>899</v>
      </c>
      <c r="AD9" s="8">
        <v>951</v>
      </c>
      <c r="AE9" s="8">
        <v>947</v>
      </c>
      <c r="AF9" s="8">
        <v>992</v>
      </c>
      <c r="AG9" s="8">
        <f>SUM(C9:AF9)</f>
        <v>29505</v>
      </c>
      <c r="AH9" s="33">
        <f>AG9/30</f>
        <v>983.5</v>
      </c>
      <c r="AI9" s="33">
        <f>+AH9</f>
        <v>983.5</v>
      </c>
    </row>
    <row r="10" spans="1:35" ht="16.5">
      <c r="A10" s="58">
        <v>4</v>
      </c>
      <c r="B10" s="46" t="s">
        <v>5</v>
      </c>
      <c r="C10" s="11">
        <f t="shared" ref="C10:AI10" si="0">+C9/C8</f>
        <v>0.94699999999999995</v>
      </c>
      <c r="D10" s="11">
        <f t="shared" si="0"/>
        <v>0.97599999999999998</v>
      </c>
      <c r="E10" s="11">
        <f t="shared" si="0"/>
        <v>0.98499999999999999</v>
      </c>
      <c r="F10" s="11">
        <f t="shared" si="0"/>
        <v>0.97799999999999998</v>
      </c>
      <c r="G10" s="11">
        <f t="shared" si="0"/>
        <v>0.96099999999999997</v>
      </c>
      <c r="H10" s="11">
        <f t="shared" si="0"/>
        <v>0.872</v>
      </c>
      <c r="I10" s="11">
        <f t="shared" si="0"/>
        <v>0.92900000000000005</v>
      </c>
      <c r="J10" s="11">
        <f t="shared" si="0"/>
        <v>0.97799999999999998</v>
      </c>
      <c r="K10" s="11">
        <f t="shared" si="0"/>
        <v>1.004</v>
      </c>
      <c r="L10" s="11">
        <f t="shared" si="0"/>
        <v>1.036</v>
      </c>
      <c r="M10" s="11">
        <f t="shared" si="0"/>
        <v>1.0489999999999999</v>
      </c>
      <c r="N10" s="11">
        <f t="shared" si="0"/>
        <v>1.042</v>
      </c>
      <c r="O10" s="11">
        <f t="shared" si="0"/>
        <v>0.96599999999999997</v>
      </c>
      <c r="P10" s="11">
        <f t="shared" si="0"/>
        <v>1.004</v>
      </c>
      <c r="Q10" s="11">
        <f t="shared" si="0"/>
        <v>0.995</v>
      </c>
      <c r="R10" s="11">
        <f t="shared" si="0"/>
        <v>1.0149999999999999</v>
      </c>
      <c r="S10" s="11">
        <f t="shared" si="0"/>
        <v>1.042</v>
      </c>
      <c r="T10" s="11">
        <f t="shared" si="0"/>
        <v>1.028</v>
      </c>
      <c r="U10" s="11">
        <f t="shared" si="0"/>
        <v>1.028</v>
      </c>
      <c r="V10" s="11">
        <f t="shared" si="0"/>
        <v>0.89100000000000001</v>
      </c>
      <c r="W10" s="11">
        <f t="shared" ref="W10:AF10" si="1">+W9/W8</f>
        <v>0.96599999999999997</v>
      </c>
      <c r="X10" s="11">
        <f t="shared" si="1"/>
        <v>1.002</v>
      </c>
      <c r="Y10" s="11">
        <f t="shared" si="1"/>
        <v>1.014</v>
      </c>
      <c r="Z10" s="11">
        <f t="shared" si="1"/>
        <v>1.0049999999999999</v>
      </c>
      <c r="AA10" s="11">
        <f t="shared" si="1"/>
        <v>0.998</v>
      </c>
      <c r="AB10" s="11">
        <f t="shared" si="1"/>
        <v>1.0049999999999999</v>
      </c>
      <c r="AC10" s="11">
        <f t="shared" si="1"/>
        <v>0.89900000000000002</v>
      </c>
      <c r="AD10" s="11">
        <f t="shared" si="1"/>
        <v>0.95099999999999996</v>
      </c>
      <c r="AE10" s="11">
        <f t="shared" si="1"/>
        <v>0.94699999999999995</v>
      </c>
      <c r="AF10" s="11">
        <f t="shared" si="1"/>
        <v>0.99199999999999999</v>
      </c>
      <c r="AG10" s="11">
        <f t="shared" si="0"/>
        <v>0.98350000000000004</v>
      </c>
      <c r="AH10" s="11">
        <f t="shared" si="0"/>
        <v>0.98350000000000004</v>
      </c>
      <c r="AI10" s="11">
        <f t="shared" si="0"/>
        <v>0.98350000000000004</v>
      </c>
    </row>
    <row r="11" spans="1:35" ht="15.75">
      <c r="A11" s="58">
        <v>5</v>
      </c>
      <c r="B11" s="47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</row>
    <row r="12" spans="1:35" ht="16.5">
      <c r="A12" s="58">
        <v>6</v>
      </c>
      <c r="B12" s="48" t="s">
        <v>6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</row>
    <row r="13" spans="1:35" ht="15.75">
      <c r="A13" s="58">
        <v>7</v>
      </c>
      <c r="B13" s="45" t="s">
        <v>7</v>
      </c>
      <c r="C13" s="15">
        <v>488</v>
      </c>
      <c r="D13" s="15">
        <v>455</v>
      </c>
      <c r="E13" s="15">
        <v>457</v>
      </c>
      <c r="F13" s="15">
        <v>381</v>
      </c>
      <c r="G13" s="15">
        <v>425</v>
      </c>
      <c r="H13" s="15">
        <v>322</v>
      </c>
      <c r="I13" s="15">
        <v>45</v>
      </c>
      <c r="J13" s="15">
        <v>559</v>
      </c>
      <c r="K13" s="15">
        <v>458</v>
      </c>
      <c r="L13" s="15">
        <v>384</v>
      </c>
      <c r="M13" s="15">
        <v>404</v>
      </c>
      <c r="N13" s="15">
        <v>445</v>
      </c>
      <c r="O13" s="15">
        <v>366</v>
      </c>
      <c r="P13" s="15">
        <v>47</v>
      </c>
      <c r="Q13" s="15">
        <v>522</v>
      </c>
      <c r="R13" s="15">
        <v>472</v>
      </c>
      <c r="S13" s="15">
        <v>418</v>
      </c>
      <c r="T13" s="15">
        <v>382</v>
      </c>
      <c r="U13" s="15">
        <v>393</v>
      </c>
      <c r="V13" s="15">
        <v>344</v>
      </c>
      <c r="W13" s="15">
        <v>49</v>
      </c>
      <c r="X13" s="15">
        <v>572</v>
      </c>
      <c r="Y13" s="15">
        <v>422</v>
      </c>
      <c r="Z13" s="15">
        <v>438</v>
      </c>
      <c r="AA13" s="15">
        <v>393</v>
      </c>
      <c r="AB13" s="15">
        <v>573</v>
      </c>
      <c r="AC13" s="15">
        <v>329</v>
      </c>
      <c r="AD13" s="15">
        <v>34</v>
      </c>
      <c r="AE13" s="15">
        <v>562</v>
      </c>
      <c r="AF13" s="15">
        <v>446</v>
      </c>
      <c r="AG13" s="15">
        <f t="shared" ref="AG13:AG20" si="2">SUM(C13:AF13)</f>
        <v>11585</v>
      </c>
      <c r="AH13" s="15">
        <f t="shared" ref="AH13:AH20" si="3">AG13/30</f>
        <v>386.16666666666669</v>
      </c>
      <c r="AI13" s="15">
        <f>+AH13*30</f>
        <v>11585</v>
      </c>
    </row>
    <row r="14" spans="1:35" ht="15.75">
      <c r="A14" s="58">
        <v>8</v>
      </c>
      <c r="B14" s="45" t="s">
        <v>8</v>
      </c>
      <c r="C14" s="15">
        <v>3927</v>
      </c>
      <c r="D14" s="15">
        <v>3838</v>
      </c>
      <c r="E14" s="15">
        <v>3947</v>
      </c>
      <c r="F14" s="15">
        <v>3992</v>
      </c>
      <c r="G14" s="15">
        <v>3616</v>
      </c>
      <c r="H14" s="15">
        <v>2830</v>
      </c>
      <c r="I14" s="15">
        <v>113</v>
      </c>
      <c r="J14" s="15">
        <v>4251</v>
      </c>
      <c r="K14" s="15">
        <v>4050</v>
      </c>
      <c r="L14" s="15">
        <v>4032</v>
      </c>
      <c r="M14" s="15">
        <v>3987</v>
      </c>
      <c r="N14" s="15">
        <v>3911</v>
      </c>
      <c r="O14" s="15">
        <v>3394</v>
      </c>
      <c r="P14" s="15">
        <v>121</v>
      </c>
      <c r="Q14" s="15">
        <v>4051</v>
      </c>
      <c r="R14" s="15">
        <v>4171</v>
      </c>
      <c r="S14" s="15">
        <v>4200</v>
      </c>
      <c r="T14" s="15">
        <v>1510</v>
      </c>
      <c r="U14" s="15">
        <v>3882</v>
      </c>
      <c r="V14" s="15">
        <v>3190</v>
      </c>
      <c r="W14" s="15">
        <v>126</v>
      </c>
      <c r="X14" s="15">
        <v>4175</v>
      </c>
      <c r="Y14" s="15">
        <v>3993</v>
      </c>
      <c r="Z14" s="15">
        <v>3869</v>
      </c>
      <c r="AA14" s="15">
        <v>3727</v>
      </c>
      <c r="AB14" s="15">
        <v>4162</v>
      </c>
      <c r="AC14" s="15">
        <v>2987</v>
      </c>
      <c r="AD14" s="15">
        <v>112</v>
      </c>
      <c r="AE14" s="15">
        <v>4169</v>
      </c>
      <c r="AF14" s="15">
        <v>3858</v>
      </c>
      <c r="AG14" s="15">
        <f t="shared" si="2"/>
        <v>98191</v>
      </c>
      <c r="AH14" s="15">
        <f t="shared" si="3"/>
        <v>3273.0333333333333</v>
      </c>
      <c r="AI14" s="15">
        <f>+AH14*30</f>
        <v>98191</v>
      </c>
    </row>
    <row r="15" spans="1:35" ht="15.75">
      <c r="A15" s="58">
        <v>9</v>
      </c>
      <c r="B15" s="45" t="s">
        <v>9</v>
      </c>
      <c r="C15" s="15">
        <f t="shared" ref="C15:AF15" si="4">SUM(C16:C20)</f>
        <v>352</v>
      </c>
      <c r="D15" s="15">
        <f t="shared" si="4"/>
        <v>352</v>
      </c>
      <c r="E15" s="15">
        <f t="shared" si="4"/>
        <v>325</v>
      </c>
      <c r="F15" s="15">
        <f t="shared" si="4"/>
        <v>334</v>
      </c>
      <c r="G15" s="15">
        <f t="shared" si="4"/>
        <v>319</v>
      </c>
      <c r="H15" s="15">
        <f t="shared" si="4"/>
        <v>230</v>
      </c>
      <c r="I15" s="15">
        <f t="shared" si="4"/>
        <v>112</v>
      </c>
      <c r="J15" s="15">
        <f t="shared" si="4"/>
        <v>338</v>
      </c>
      <c r="K15" s="15">
        <f t="shared" si="4"/>
        <v>348</v>
      </c>
      <c r="L15" s="15">
        <f t="shared" si="4"/>
        <v>333</v>
      </c>
      <c r="M15" s="15">
        <f t="shared" si="4"/>
        <v>329</v>
      </c>
      <c r="N15" s="15">
        <f t="shared" si="4"/>
        <v>306</v>
      </c>
      <c r="O15" s="15">
        <f t="shared" si="4"/>
        <v>235</v>
      </c>
      <c r="P15" s="15">
        <f t="shared" si="4"/>
        <v>93</v>
      </c>
      <c r="Q15" s="15">
        <f t="shared" si="4"/>
        <v>350</v>
      </c>
      <c r="R15" s="15">
        <f t="shared" si="4"/>
        <v>372</v>
      </c>
      <c r="S15" s="15">
        <f t="shared" si="4"/>
        <v>323</v>
      </c>
      <c r="T15" s="15">
        <f t="shared" si="4"/>
        <v>299</v>
      </c>
      <c r="U15" s="15">
        <f t="shared" si="4"/>
        <v>268</v>
      </c>
      <c r="V15" s="15">
        <f t="shared" si="4"/>
        <v>238</v>
      </c>
      <c r="W15" s="15">
        <f t="shared" si="4"/>
        <v>136</v>
      </c>
      <c r="X15" s="15">
        <f t="shared" si="4"/>
        <v>341</v>
      </c>
      <c r="Y15" s="15">
        <f t="shared" si="4"/>
        <v>324</v>
      </c>
      <c r="Z15" s="15">
        <f t="shared" si="4"/>
        <v>280</v>
      </c>
      <c r="AA15" s="15">
        <f t="shared" si="4"/>
        <v>327</v>
      </c>
      <c r="AB15" s="15">
        <f t="shared" si="4"/>
        <v>275</v>
      </c>
      <c r="AC15" s="15">
        <f t="shared" si="4"/>
        <v>233</v>
      </c>
      <c r="AD15" s="15">
        <f t="shared" si="4"/>
        <v>107</v>
      </c>
      <c r="AE15" s="15">
        <f t="shared" si="4"/>
        <v>305</v>
      </c>
      <c r="AF15" s="15">
        <f t="shared" si="4"/>
        <v>331</v>
      </c>
      <c r="AG15" s="15">
        <f t="shared" si="2"/>
        <v>8515</v>
      </c>
      <c r="AH15" s="15">
        <f t="shared" si="3"/>
        <v>283.83333333333331</v>
      </c>
      <c r="AI15" s="15">
        <f>SUM(AI16:AI20)</f>
        <v>8515</v>
      </c>
    </row>
    <row r="16" spans="1:35" ht="15.75">
      <c r="A16" s="58">
        <v>10</v>
      </c>
      <c r="B16" s="49" t="s">
        <v>10</v>
      </c>
      <c r="C16" s="17">
        <v>266</v>
      </c>
      <c r="D16" s="17">
        <v>270</v>
      </c>
      <c r="E16" s="17">
        <v>257</v>
      </c>
      <c r="F16" s="17">
        <v>263</v>
      </c>
      <c r="G16" s="17">
        <v>246</v>
      </c>
      <c r="H16" s="17">
        <v>195</v>
      </c>
      <c r="I16" s="17">
        <v>79</v>
      </c>
      <c r="J16" s="17">
        <v>240</v>
      </c>
      <c r="K16" s="17">
        <v>251</v>
      </c>
      <c r="L16" s="17">
        <v>261</v>
      </c>
      <c r="M16" s="17">
        <v>242</v>
      </c>
      <c r="N16" s="17">
        <v>222</v>
      </c>
      <c r="O16" s="17">
        <v>191</v>
      </c>
      <c r="P16" s="17">
        <v>58</v>
      </c>
      <c r="Q16" s="17">
        <v>256</v>
      </c>
      <c r="R16" s="17">
        <v>277</v>
      </c>
      <c r="S16" s="17">
        <v>240</v>
      </c>
      <c r="T16" s="17">
        <v>232</v>
      </c>
      <c r="U16" s="17">
        <v>199</v>
      </c>
      <c r="V16" s="17">
        <v>177</v>
      </c>
      <c r="W16" s="17">
        <v>93</v>
      </c>
      <c r="X16" s="17">
        <v>247</v>
      </c>
      <c r="Y16" s="17">
        <v>229</v>
      </c>
      <c r="Z16" s="17">
        <v>198</v>
      </c>
      <c r="AA16" s="17">
        <v>243</v>
      </c>
      <c r="AB16" s="17">
        <v>205</v>
      </c>
      <c r="AC16" s="17">
        <v>189</v>
      </c>
      <c r="AD16" s="17">
        <v>62</v>
      </c>
      <c r="AE16" s="17">
        <v>224</v>
      </c>
      <c r="AF16" s="17">
        <v>240</v>
      </c>
      <c r="AG16" s="17">
        <f t="shared" si="2"/>
        <v>6352</v>
      </c>
      <c r="AH16" s="17">
        <f t="shared" si="3"/>
        <v>211.73333333333332</v>
      </c>
      <c r="AI16" s="17">
        <f>+AH16*30</f>
        <v>6352</v>
      </c>
    </row>
    <row r="17" spans="1:37" ht="15.75">
      <c r="A17" s="58">
        <v>11</v>
      </c>
      <c r="B17" s="49" t="s">
        <v>11</v>
      </c>
      <c r="C17" s="17">
        <v>51</v>
      </c>
      <c r="D17" s="17">
        <v>31</v>
      </c>
      <c r="E17" s="17">
        <v>33</v>
      </c>
      <c r="F17" s="17">
        <v>32</v>
      </c>
      <c r="G17" s="17">
        <v>32</v>
      </c>
      <c r="H17" s="17">
        <v>18</v>
      </c>
      <c r="I17" s="17">
        <v>18</v>
      </c>
      <c r="J17" s="17">
        <v>60</v>
      </c>
      <c r="K17" s="17">
        <v>51</v>
      </c>
      <c r="L17" s="17">
        <v>36</v>
      </c>
      <c r="M17" s="17">
        <v>47</v>
      </c>
      <c r="N17" s="17">
        <v>46</v>
      </c>
      <c r="O17" s="17">
        <v>21</v>
      </c>
      <c r="P17" s="17">
        <v>25</v>
      </c>
      <c r="Q17" s="17">
        <v>48</v>
      </c>
      <c r="R17" s="17">
        <v>39</v>
      </c>
      <c r="S17" s="17">
        <v>44</v>
      </c>
      <c r="T17" s="17">
        <v>34</v>
      </c>
      <c r="U17" s="17">
        <v>30</v>
      </c>
      <c r="V17" s="17">
        <v>24</v>
      </c>
      <c r="W17" s="17">
        <v>28</v>
      </c>
      <c r="X17" s="17">
        <v>51</v>
      </c>
      <c r="Y17" s="17">
        <v>54</v>
      </c>
      <c r="Z17" s="17">
        <v>52</v>
      </c>
      <c r="AA17" s="17">
        <v>42</v>
      </c>
      <c r="AB17" s="17">
        <v>31</v>
      </c>
      <c r="AC17" s="17">
        <v>18</v>
      </c>
      <c r="AD17" s="17">
        <v>31</v>
      </c>
      <c r="AE17" s="17">
        <v>56</v>
      </c>
      <c r="AF17" s="17">
        <v>42</v>
      </c>
      <c r="AG17" s="17">
        <f t="shared" si="2"/>
        <v>1125</v>
      </c>
      <c r="AH17" s="17">
        <f t="shared" si="3"/>
        <v>37.5</v>
      </c>
      <c r="AI17" s="17">
        <f>+AH17*30</f>
        <v>1125</v>
      </c>
    </row>
    <row r="18" spans="1:37" ht="15.75">
      <c r="A18" s="58">
        <v>12</v>
      </c>
      <c r="B18" s="49" t="s">
        <v>12</v>
      </c>
      <c r="C18" s="17">
        <v>33</v>
      </c>
      <c r="D18" s="17">
        <v>48</v>
      </c>
      <c r="E18" s="17">
        <v>34</v>
      </c>
      <c r="F18" s="17">
        <v>32</v>
      </c>
      <c r="G18" s="17">
        <v>41</v>
      </c>
      <c r="H18" s="17">
        <v>17</v>
      </c>
      <c r="I18" s="17">
        <v>15</v>
      </c>
      <c r="J18" s="17">
        <v>34</v>
      </c>
      <c r="K18" s="17">
        <v>44</v>
      </c>
      <c r="L18" s="17">
        <v>35</v>
      </c>
      <c r="M18" s="17">
        <v>36</v>
      </c>
      <c r="N18" s="17">
        <v>36</v>
      </c>
      <c r="O18" s="17">
        <v>18</v>
      </c>
      <c r="P18" s="17">
        <v>8</v>
      </c>
      <c r="Q18" s="17">
        <v>41</v>
      </c>
      <c r="R18" s="17">
        <v>49</v>
      </c>
      <c r="S18" s="17">
        <v>38</v>
      </c>
      <c r="T18" s="17">
        <v>31</v>
      </c>
      <c r="U18" s="17">
        <v>35</v>
      </c>
      <c r="V18" s="17">
        <v>32</v>
      </c>
      <c r="W18" s="17">
        <v>13</v>
      </c>
      <c r="X18" s="17">
        <v>39</v>
      </c>
      <c r="Y18" s="17">
        <v>36</v>
      </c>
      <c r="Z18" s="17">
        <v>27</v>
      </c>
      <c r="AA18" s="17">
        <v>41</v>
      </c>
      <c r="AB18" s="17">
        <v>32</v>
      </c>
      <c r="AC18" s="17">
        <v>22</v>
      </c>
      <c r="AD18" s="17">
        <v>14</v>
      </c>
      <c r="AE18" s="17">
        <v>22</v>
      </c>
      <c r="AF18" s="17">
        <v>39</v>
      </c>
      <c r="AG18" s="17">
        <f t="shared" si="2"/>
        <v>942</v>
      </c>
      <c r="AH18" s="17">
        <f t="shared" si="3"/>
        <v>31.4</v>
      </c>
      <c r="AI18" s="17">
        <f>+AH18*30</f>
        <v>942</v>
      </c>
    </row>
    <row r="19" spans="1:37" ht="15.75">
      <c r="A19" s="58">
        <v>13</v>
      </c>
      <c r="B19" s="49" t="s">
        <v>13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2</v>
      </c>
      <c r="K19" s="17">
        <v>0</v>
      </c>
      <c r="L19" s="17">
        <v>0</v>
      </c>
      <c r="M19" s="17">
        <v>1</v>
      </c>
      <c r="N19" s="17">
        <v>0</v>
      </c>
      <c r="O19" s="17">
        <v>1</v>
      </c>
      <c r="P19" s="17">
        <v>0</v>
      </c>
      <c r="Q19" s="17">
        <v>1</v>
      </c>
      <c r="R19" s="17">
        <v>1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2</v>
      </c>
      <c r="AC19" s="17">
        <v>2</v>
      </c>
      <c r="AD19" s="17">
        <v>0</v>
      </c>
      <c r="AE19" s="17">
        <v>0</v>
      </c>
      <c r="AF19" s="17">
        <v>0</v>
      </c>
      <c r="AG19" s="17">
        <f t="shared" si="2"/>
        <v>10</v>
      </c>
      <c r="AH19" s="17">
        <f t="shared" si="3"/>
        <v>0.33333333333333331</v>
      </c>
      <c r="AI19" s="17">
        <f>+AH19*30</f>
        <v>10</v>
      </c>
    </row>
    <row r="20" spans="1:37" ht="15.75">
      <c r="A20" s="58">
        <v>14</v>
      </c>
      <c r="B20" s="49" t="s">
        <v>14</v>
      </c>
      <c r="C20" s="17">
        <v>2</v>
      </c>
      <c r="D20" s="17">
        <v>3</v>
      </c>
      <c r="E20" s="17">
        <v>1</v>
      </c>
      <c r="F20" s="17">
        <v>7</v>
      </c>
      <c r="G20" s="17">
        <v>0</v>
      </c>
      <c r="H20" s="17">
        <v>0</v>
      </c>
      <c r="I20" s="17">
        <v>0</v>
      </c>
      <c r="J20" s="17">
        <v>2</v>
      </c>
      <c r="K20" s="17">
        <v>2</v>
      </c>
      <c r="L20" s="17">
        <v>1</v>
      </c>
      <c r="M20" s="17">
        <v>3</v>
      </c>
      <c r="N20" s="17">
        <v>2</v>
      </c>
      <c r="O20" s="17">
        <v>4</v>
      </c>
      <c r="P20" s="17">
        <v>2</v>
      </c>
      <c r="Q20" s="17">
        <v>4</v>
      </c>
      <c r="R20" s="17">
        <v>6</v>
      </c>
      <c r="S20" s="17">
        <v>1</v>
      </c>
      <c r="T20" s="17">
        <v>2</v>
      </c>
      <c r="U20" s="17">
        <v>4</v>
      </c>
      <c r="V20" s="17">
        <v>5</v>
      </c>
      <c r="W20" s="17">
        <v>2</v>
      </c>
      <c r="X20" s="17">
        <v>4</v>
      </c>
      <c r="Y20" s="17">
        <v>5</v>
      </c>
      <c r="Z20" s="17">
        <v>3</v>
      </c>
      <c r="AA20" s="17">
        <v>1</v>
      </c>
      <c r="AB20" s="17">
        <v>5</v>
      </c>
      <c r="AC20" s="17">
        <v>2</v>
      </c>
      <c r="AD20" s="17">
        <v>0</v>
      </c>
      <c r="AE20" s="17">
        <v>3</v>
      </c>
      <c r="AF20" s="17">
        <v>10</v>
      </c>
      <c r="AG20" s="17">
        <f t="shared" si="2"/>
        <v>86</v>
      </c>
      <c r="AH20" s="17">
        <f t="shared" si="3"/>
        <v>2.8666666666666667</v>
      </c>
      <c r="AI20" s="17">
        <f>+AH20*30</f>
        <v>86</v>
      </c>
      <c r="AJ20" s="36"/>
    </row>
    <row r="21" spans="1:37" ht="15.75">
      <c r="A21" s="58">
        <v>15</v>
      </c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 spans="1:37" ht="15.75">
      <c r="A22" s="58">
        <v>16</v>
      </c>
      <c r="B22" s="18" t="s">
        <v>15</v>
      </c>
      <c r="C22" s="17">
        <v>49</v>
      </c>
      <c r="D22" s="17">
        <v>56</v>
      </c>
      <c r="E22" s="17">
        <v>40</v>
      </c>
      <c r="F22" s="17">
        <v>39</v>
      </c>
      <c r="G22" s="17">
        <v>39</v>
      </c>
      <c r="H22" s="17">
        <v>34</v>
      </c>
      <c r="I22" s="17">
        <v>47</v>
      </c>
      <c r="J22" s="17">
        <v>51</v>
      </c>
      <c r="K22" s="17">
        <v>56</v>
      </c>
      <c r="L22" s="17">
        <v>43</v>
      </c>
      <c r="M22" s="17">
        <v>61</v>
      </c>
      <c r="N22" s="17">
        <v>44</v>
      </c>
      <c r="O22" s="17">
        <v>40</v>
      </c>
      <c r="P22" s="17">
        <v>40</v>
      </c>
      <c r="Q22" s="17">
        <v>56</v>
      </c>
      <c r="R22" s="17">
        <v>56</v>
      </c>
      <c r="S22" s="17">
        <v>45</v>
      </c>
      <c r="T22" s="17">
        <v>52</v>
      </c>
      <c r="U22" s="17">
        <v>44</v>
      </c>
      <c r="V22" s="17">
        <v>59</v>
      </c>
      <c r="W22" s="17">
        <v>52</v>
      </c>
      <c r="X22" s="17">
        <v>44</v>
      </c>
      <c r="Y22" s="17">
        <v>55</v>
      </c>
      <c r="Z22" s="17">
        <v>50</v>
      </c>
      <c r="AA22" s="17">
        <v>54</v>
      </c>
      <c r="AB22" s="17">
        <v>40</v>
      </c>
      <c r="AC22" s="17">
        <v>51</v>
      </c>
      <c r="AD22" s="17">
        <v>41</v>
      </c>
      <c r="AE22" s="17">
        <v>49</v>
      </c>
      <c r="AF22" s="17">
        <v>55</v>
      </c>
      <c r="AG22" s="17">
        <f>SUM(C22:AF22)</f>
        <v>1442</v>
      </c>
      <c r="AH22" s="17">
        <f>AG22/30</f>
        <v>48.06666666666667</v>
      </c>
      <c r="AI22" s="17">
        <f>+AH22*30</f>
        <v>1442</v>
      </c>
    </row>
    <row r="23" spans="1:37" ht="15.75">
      <c r="A23" s="58">
        <v>17</v>
      </c>
      <c r="B23" s="18" t="s">
        <v>16</v>
      </c>
      <c r="C23" s="17">
        <v>109</v>
      </c>
      <c r="D23" s="17">
        <v>91</v>
      </c>
      <c r="E23" s="17">
        <v>113</v>
      </c>
      <c r="F23" s="17">
        <v>83</v>
      </c>
      <c r="G23" s="17">
        <v>83</v>
      </c>
      <c r="H23" s="17">
        <v>35</v>
      </c>
      <c r="I23" s="17">
        <v>57</v>
      </c>
      <c r="J23" s="17">
        <v>122</v>
      </c>
      <c r="K23" s="17">
        <v>101</v>
      </c>
      <c r="L23" s="17">
        <v>95</v>
      </c>
      <c r="M23" s="17">
        <v>94</v>
      </c>
      <c r="N23" s="17">
        <v>75</v>
      </c>
      <c r="O23" s="17">
        <v>37</v>
      </c>
      <c r="P23" s="17">
        <v>51</v>
      </c>
      <c r="Q23" s="17">
        <v>114</v>
      </c>
      <c r="R23" s="17">
        <v>105</v>
      </c>
      <c r="S23" s="17">
        <v>125</v>
      </c>
      <c r="T23" s="17">
        <v>79</v>
      </c>
      <c r="U23" s="17">
        <v>68</v>
      </c>
      <c r="V23" s="17">
        <v>30</v>
      </c>
      <c r="W23" s="17">
        <v>73</v>
      </c>
      <c r="X23" s="17">
        <v>121</v>
      </c>
      <c r="Y23" s="17">
        <v>94</v>
      </c>
      <c r="Z23" s="17">
        <v>95</v>
      </c>
      <c r="AA23" s="17">
        <v>87</v>
      </c>
      <c r="AB23" s="17">
        <v>61</v>
      </c>
      <c r="AC23" s="17">
        <v>28</v>
      </c>
      <c r="AD23" s="17">
        <v>62</v>
      </c>
      <c r="AE23" s="17">
        <v>96</v>
      </c>
      <c r="AF23" s="17">
        <v>97</v>
      </c>
      <c r="AG23" s="17">
        <f>SUM(C23:AF23)</f>
        <v>2481</v>
      </c>
      <c r="AH23" s="17">
        <f>AG23/30</f>
        <v>82.7</v>
      </c>
      <c r="AI23" s="17">
        <f>+AH23*30</f>
        <v>2481</v>
      </c>
    </row>
    <row r="24" spans="1:37" ht="15.75">
      <c r="A24" s="58">
        <v>18</v>
      </c>
      <c r="B24" s="18" t="s">
        <v>17</v>
      </c>
      <c r="C24" s="17">
        <v>178</v>
      </c>
      <c r="D24" s="17">
        <v>192</v>
      </c>
      <c r="E24" s="17">
        <v>160</v>
      </c>
      <c r="F24" s="17">
        <v>203</v>
      </c>
      <c r="G24" s="17">
        <v>184</v>
      </c>
      <c r="H24" s="17">
        <v>146</v>
      </c>
      <c r="I24" s="17">
        <v>8</v>
      </c>
      <c r="J24" s="17">
        <v>157</v>
      </c>
      <c r="K24" s="17">
        <v>175</v>
      </c>
      <c r="L24" s="17">
        <v>187</v>
      </c>
      <c r="M24" s="17">
        <v>163</v>
      </c>
      <c r="N24" s="17">
        <v>174</v>
      </c>
      <c r="O24" s="17">
        <v>142</v>
      </c>
      <c r="P24" s="17">
        <v>2</v>
      </c>
      <c r="Q24" s="17">
        <v>166</v>
      </c>
      <c r="R24" s="17">
        <v>195</v>
      </c>
      <c r="S24" s="17">
        <v>143</v>
      </c>
      <c r="T24" s="17">
        <v>158</v>
      </c>
      <c r="U24" s="17">
        <v>146</v>
      </c>
      <c r="V24" s="17">
        <v>134</v>
      </c>
      <c r="W24" s="17">
        <v>11</v>
      </c>
      <c r="X24" s="17">
        <v>169</v>
      </c>
      <c r="Y24" s="17">
        <v>164</v>
      </c>
      <c r="Z24" s="17">
        <v>139</v>
      </c>
      <c r="AA24" s="17">
        <v>174</v>
      </c>
      <c r="AB24" s="17">
        <v>165</v>
      </c>
      <c r="AC24" s="17">
        <v>140</v>
      </c>
      <c r="AD24" s="17">
        <v>4</v>
      </c>
      <c r="AE24" s="17">
        <v>151</v>
      </c>
      <c r="AF24" s="17">
        <v>164</v>
      </c>
      <c r="AG24" s="17">
        <f>SUM(C24:AF24)</f>
        <v>4294</v>
      </c>
      <c r="AH24" s="17">
        <f>AG24/30</f>
        <v>143.13333333333333</v>
      </c>
      <c r="AI24" s="17">
        <f>+AH24*30</f>
        <v>4294</v>
      </c>
    </row>
    <row r="25" spans="1:37" ht="15.75">
      <c r="A25" s="58">
        <v>19</v>
      </c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r="26" spans="1:37" ht="15.75">
      <c r="A26" s="58">
        <v>20</v>
      </c>
      <c r="B26" s="45" t="s">
        <v>18</v>
      </c>
      <c r="C26" s="15">
        <f t="shared" ref="C26:L26" si="5">SUM(C27:C31)</f>
        <v>321</v>
      </c>
      <c r="D26" s="15">
        <f t="shared" si="5"/>
        <v>313</v>
      </c>
      <c r="E26" s="15">
        <f t="shared" si="5"/>
        <v>306</v>
      </c>
      <c r="F26" s="15">
        <f t="shared" si="5"/>
        <v>351</v>
      </c>
      <c r="G26" s="15">
        <f t="shared" si="5"/>
        <v>339</v>
      </c>
      <c r="H26" s="15">
        <f t="shared" si="5"/>
        <v>307</v>
      </c>
      <c r="I26" s="15">
        <f t="shared" si="5"/>
        <v>50</v>
      </c>
      <c r="J26" s="15">
        <f t="shared" si="5"/>
        <v>305</v>
      </c>
      <c r="K26" s="15">
        <f t="shared" si="5"/>
        <v>324</v>
      </c>
      <c r="L26" s="15">
        <f t="shared" si="5"/>
        <v>299</v>
      </c>
      <c r="M26" s="15">
        <f t="shared" ref="M26:S26" si="6">SUM(M27:M31)</f>
        <v>318</v>
      </c>
      <c r="N26" s="15">
        <f t="shared" si="6"/>
        <v>309</v>
      </c>
      <c r="O26" s="15">
        <f t="shared" si="6"/>
        <v>311</v>
      </c>
      <c r="P26" s="15">
        <f t="shared" si="6"/>
        <v>52</v>
      </c>
      <c r="Q26" s="15">
        <f t="shared" si="6"/>
        <v>352</v>
      </c>
      <c r="R26" s="15">
        <f t="shared" si="6"/>
        <v>348</v>
      </c>
      <c r="S26" s="15">
        <f t="shared" si="6"/>
        <v>319</v>
      </c>
      <c r="T26" s="15">
        <f t="shared" ref="T26:AF26" si="7">SUM(T27:T31)</f>
        <v>308</v>
      </c>
      <c r="U26" s="15">
        <f t="shared" si="7"/>
        <v>301</v>
      </c>
      <c r="V26" s="15">
        <f t="shared" si="7"/>
        <v>344</v>
      </c>
      <c r="W26" s="15">
        <f t="shared" si="7"/>
        <v>59</v>
      </c>
      <c r="X26" s="15">
        <f t="shared" si="7"/>
        <v>317</v>
      </c>
      <c r="Y26" s="15">
        <f t="shared" si="7"/>
        <v>298</v>
      </c>
      <c r="Z26" s="15">
        <f t="shared" si="7"/>
        <v>302</v>
      </c>
      <c r="AA26" s="15">
        <f t="shared" si="7"/>
        <v>329</v>
      </c>
      <c r="AB26" s="15">
        <f t="shared" si="7"/>
        <v>280</v>
      </c>
      <c r="AC26" s="15">
        <f t="shared" si="7"/>
        <v>337</v>
      </c>
      <c r="AD26" s="15">
        <f t="shared" si="7"/>
        <v>47</v>
      </c>
      <c r="AE26" s="15">
        <f t="shared" si="7"/>
        <v>320</v>
      </c>
      <c r="AF26" s="15">
        <f t="shared" si="7"/>
        <v>292</v>
      </c>
      <c r="AG26" s="15">
        <f t="shared" ref="AG26:AG31" si="8">SUM(C26:AF26)</f>
        <v>8458</v>
      </c>
      <c r="AH26" s="15">
        <f t="shared" ref="AH26:AH31" si="9">AG26/30</f>
        <v>281.93333333333334</v>
      </c>
      <c r="AI26" s="15">
        <f>SUM(AI27:AI31)</f>
        <v>8458</v>
      </c>
    </row>
    <row r="27" spans="1:37" ht="15.75">
      <c r="A27" s="58">
        <v>21</v>
      </c>
      <c r="B27" s="49" t="s">
        <v>10</v>
      </c>
      <c r="C27" s="17">
        <v>227</v>
      </c>
      <c r="D27" s="17">
        <v>229</v>
      </c>
      <c r="E27" s="17">
        <v>232</v>
      </c>
      <c r="F27" s="17">
        <v>264</v>
      </c>
      <c r="G27" s="17">
        <v>257</v>
      </c>
      <c r="H27" s="17">
        <v>228</v>
      </c>
      <c r="I27" s="17">
        <v>47</v>
      </c>
      <c r="J27" s="17">
        <v>212</v>
      </c>
      <c r="K27" s="17">
        <v>242</v>
      </c>
      <c r="L27" s="17">
        <v>235</v>
      </c>
      <c r="M27" s="17">
        <v>223</v>
      </c>
      <c r="N27" s="17">
        <v>220</v>
      </c>
      <c r="O27" s="17">
        <v>226</v>
      </c>
      <c r="P27" s="17">
        <v>49</v>
      </c>
      <c r="Q27" s="17">
        <v>244</v>
      </c>
      <c r="R27" s="17">
        <v>258</v>
      </c>
      <c r="S27" s="17">
        <v>235</v>
      </c>
      <c r="T27" s="17">
        <v>229</v>
      </c>
      <c r="U27" s="17">
        <v>216</v>
      </c>
      <c r="V27" s="17">
        <v>256</v>
      </c>
      <c r="W27" s="17">
        <v>54</v>
      </c>
      <c r="X27" s="17">
        <v>227</v>
      </c>
      <c r="Y27" s="17">
        <v>217</v>
      </c>
      <c r="Z27" s="17">
        <v>232</v>
      </c>
      <c r="AA27" s="17">
        <v>234</v>
      </c>
      <c r="AB27" s="17">
        <v>204</v>
      </c>
      <c r="AC27" s="17">
        <v>242</v>
      </c>
      <c r="AD27" s="17">
        <v>42</v>
      </c>
      <c r="AE27" s="17">
        <v>216</v>
      </c>
      <c r="AF27" s="17">
        <v>204</v>
      </c>
      <c r="AG27" s="17">
        <f t="shared" si="8"/>
        <v>6201</v>
      </c>
      <c r="AH27" s="17">
        <f t="shared" si="9"/>
        <v>206.7</v>
      </c>
      <c r="AI27" s="17">
        <f>+AH27*30</f>
        <v>6201</v>
      </c>
      <c r="AJ27" s="36"/>
    </row>
    <row r="28" spans="1:37" ht="15.75">
      <c r="A28" s="58">
        <v>22</v>
      </c>
      <c r="B28" s="49" t="s">
        <v>11</v>
      </c>
      <c r="C28" s="17">
        <v>51</v>
      </c>
      <c r="D28" s="17">
        <v>42</v>
      </c>
      <c r="E28" s="17">
        <v>41</v>
      </c>
      <c r="F28" s="17">
        <v>48</v>
      </c>
      <c r="G28" s="17">
        <v>46</v>
      </c>
      <c r="H28" s="17">
        <v>41</v>
      </c>
      <c r="I28" s="17">
        <v>1</v>
      </c>
      <c r="J28" s="17">
        <v>53</v>
      </c>
      <c r="K28" s="17">
        <v>42</v>
      </c>
      <c r="L28" s="17">
        <v>37</v>
      </c>
      <c r="M28" s="17">
        <v>48</v>
      </c>
      <c r="N28" s="17">
        <v>43</v>
      </c>
      <c r="O28" s="17">
        <v>55</v>
      </c>
      <c r="P28" s="17">
        <v>2</v>
      </c>
      <c r="Q28" s="17">
        <v>59</v>
      </c>
      <c r="R28" s="17">
        <v>45</v>
      </c>
      <c r="S28" s="17">
        <v>48</v>
      </c>
      <c r="T28" s="17">
        <v>41</v>
      </c>
      <c r="U28" s="17">
        <v>44</v>
      </c>
      <c r="V28" s="17">
        <v>46</v>
      </c>
      <c r="W28" s="17">
        <v>2</v>
      </c>
      <c r="X28" s="17">
        <v>47</v>
      </c>
      <c r="Y28" s="17">
        <v>32</v>
      </c>
      <c r="Z28" s="17">
        <v>43</v>
      </c>
      <c r="AA28" s="17">
        <v>48</v>
      </c>
      <c r="AB28" s="17">
        <v>46</v>
      </c>
      <c r="AC28" s="17">
        <v>56</v>
      </c>
      <c r="AD28" s="17">
        <v>5</v>
      </c>
      <c r="AE28" s="17">
        <v>64</v>
      </c>
      <c r="AF28" s="17">
        <v>46</v>
      </c>
      <c r="AG28" s="17">
        <f t="shared" si="8"/>
        <v>1222</v>
      </c>
      <c r="AH28" s="17">
        <f t="shared" si="9"/>
        <v>40.733333333333334</v>
      </c>
      <c r="AI28" s="17">
        <f>+AH28*30</f>
        <v>1222</v>
      </c>
      <c r="AJ28" s="36"/>
      <c r="AK28" s="36"/>
    </row>
    <row r="29" spans="1:37" ht="15.75">
      <c r="A29" s="58">
        <v>23</v>
      </c>
      <c r="B29" s="49" t="s">
        <v>12</v>
      </c>
      <c r="C29" s="17">
        <v>40</v>
      </c>
      <c r="D29" s="17">
        <v>40</v>
      </c>
      <c r="E29" s="17">
        <v>28</v>
      </c>
      <c r="F29" s="17">
        <v>34</v>
      </c>
      <c r="G29" s="17">
        <v>35</v>
      </c>
      <c r="H29" s="17">
        <v>33</v>
      </c>
      <c r="I29" s="17">
        <v>0</v>
      </c>
      <c r="J29" s="17">
        <v>39</v>
      </c>
      <c r="K29" s="17">
        <v>37</v>
      </c>
      <c r="L29" s="17">
        <v>26</v>
      </c>
      <c r="M29" s="17">
        <v>43</v>
      </c>
      <c r="N29" s="17">
        <v>44</v>
      </c>
      <c r="O29" s="17">
        <v>27</v>
      </c>
      <c r="P29" s="17">
        <v>0</v>
      </c>
      <c r="Q29" s="17">
        <v>45</v>
      </c>
      <c r="R29" s="17">
        <v>41</v>
      </c>
      <c r="S29" s="17">
        <v>34</v>
      </c>
      <c r="T29" s="17">
        <v>37</v>
      </c>
      <c r="U29" s="17">
        <v>40</v>
      </c>
      <c r="V29" s="17">
        <v>41</v>
      </c>
      <c r="W29" s="17">
        <v>3</v>
      </c>
      <c r="X29" s="17">
        <v>35</v>
      </c>
      <c r="Y29" s="17">
        <v>42</v>
      </c>
      <c r="Z29" s="17">
        <v>24</v>
      </c>
      <c r="AA29" s="17">
        <v>45</v>
      </c>
      <c r="AB29" s="17">
        <v>26</v>
      </c>
      <c r="AC29" s="17">
        <v>36</v>
      </c>
      <c r="AD29" s="17">
        <v>0</v>
      </c>
      <c r="AE29" s="17">
        <v>35</v>
      </c>
      <c r="AF29" s="17">
        <v>39</v>
      </c>
      <c r="AG29" s="17">
        <f t="shared" si="8"/>
        <v>949</v>
      </c>
      <c r="AH29" s="17">
        <f t="shared" si="9"/>
        <v>31.633333333333333</v>
      </c>
      <c r="AI29" s="17">
        <f>+AH29*30</f>
        <v>949</v>
      </c>
      <c r="AJ29" s="36"/>
      <c r="AK29" s="36"/>
    </row>
    <row r="30" spans="1:37" ht="15.75">
      <c r="A30" s="58">
        <v>24</v>
      </c>
      <c r="B30" s="49" t="s">
        <v>13</v>
      </c>
      <c r="C30" s="17">
        <v>0</v>
      </c>
      <c r="D30" s="17">
        <v>0</v>
      </c>
      <c r="E30" s="17">
        <v>2</v>
      </c>
      <c r="F30" s="17">
        <v>0</v>
      </c>
      <c r="G30" s="17">
        <v>0</v>
      </c>
      <c r="H30" s="17">
        <v>0</v>
      </c>
      <c r="I30" s="17">
        <v>0</v>
      </c>
      <c r="J30" s="17">
        <v>1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4</v>
      </c>
      <c r="Y30" s="17">
        <v>1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1</v>
      </c>
      <c r="AG30" s="17">
        <f t="shared" si="8"/>
        <v>9</v>
      </c>
      <c r="AH30" s="17">
        <f t="shared" si="9"/>
        <v>0.3</v>
      </c>
      <c r="AI30" s="17">
        <f>+AH30*30</f>
        <v>9</v>
      </c>
      <c r="AJ30" s="36"/>
      <c r="AK30" s="36"/>
    </row>
    <row r="31" spans="1:37" ht="15.75">
      <c r="A31" s="58">
        <v>25</v>
      </c>
      <c r="B31" s="50" t="s">
        <v>19</v>
      </c>
      <c r="C31" s="21">
        <v>3</v>
      </c>
      <c r="D31" s="21">
        <v>2</v>
      </c>
      <c r="E31" s="21">
        <v>3</v>
      </c>
      <c r="F31" s="21">
        <v>5</v>
      </c>
      <c r="G31" s="21">
        <v>1</v>
      </c>
      <c r="H31" s="21">
        <v>5</v>
      </c>
      <c r="I31" s="21">
        <v>2</v>
      </c>
      <c r="J31" s="21">
        <v>0</v>
      </c>
      <c r="K31" s="21">
        <v>3</v>
      </c>
      <c r="L31" s="21">
        <v>1</v>
      </c>
      <c r="M31" s="21">
        <v>4</v>
      </c>
      <c r="N31" s="21">
        <v>2</v>
      </c>
      <c r="O31" s="21">
        <v>3</v>
      </c>
      <c r="P31" s="21">
        <v>1</v>
      </c>
      <c r="Q31" s="21">
        <v>4</v>
      </c>
      <c r="R31" s="21">
        <v>4</v>
      </c>
      <c r="S31" s="21">
        <v>2</v>
      </c>
      <c r="T31" s="21">
        <v>1</v>
      </c>
      <c r="U31" s="21">
        <v>1</v>
      </c>
      <c r="V31" s="21">
        <v>1</v>
      </c>
      <c r="W31" s="21">
        <v>0</v>
      </c>
      <c r="X31" s="21">
        <v>4</v>
      </c>
      <c r="Y31" s="21">
        <v>6</v>
      </c>
      <c r="Z31" s="21">
        <v>3</v>
      </c>
      <c r="AA31" s="21">
        <v>2</v>
      </c>
      <c r="AB31" s="21">
        <v>4</v>
      </c>
      <c r="AC31" s="21">
        <v>3</v>
      </c>
      <c r="AD31" s="21">
        <v>0</v>
      </c>
      <c r="AE31" s="21">
        <v>5</v>
      </c>
      <c r="AF31" s="21">
        <v>2</v>
      </c>
      <c r="AG31" s="21">
        <f t="shared" si="8"/>
        <v>77</v>
      </c>
      <c r="AH31" s="21">
        <f t="shared" si="9"/>
        <v>2.5666666666666669</v>
      </c>
      <c r="AI31" s="21">
        <f>+AH31*30</f>
        <v>77</v>
      </c>
      <c r="AJ31" s="36"/>
      <c r="AK31" s="36"/>
    </row>
    <row r="32" spans="1:37" ht="15.75">
      <c r="A32" s="58">
        <v>26</v>
      </c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K32" s="36"/>
    </row>
    <row r="33" spans="1:35" ht="15.75">
      <c r="A33" s="58">
        <v>27</v>
      </c>
      <c r="B33" s="18" t="s">
        <v>20</v>
      </c>
      <c r="C33" s="17">
        <v>45</v>
      </c>
      <c r="D33" s="17">
        <v>25</v>
      </c>
      <c r="E33" s="17">
        <v>24</v>
      </c>
      <c r="F33" s="17">
        <v>25</v>
      </c>
      <c r="G33" s="17">
        <v>30</v>
      </c>
      <c r="H33" s="17">
        <v>24</v>
      </c>
      <c r="I33" s="17">
        <v>5</v>
      </c>
      <c r="J33" s="17">
        <v>35</v>
      </c>
      <c r="K33" s="17">
        <v>23</v>
      </c>
      <c r="L33" s="17">
        <v>12</v>
      </c>
      <c r="M33" s="17">
        <v>13</v>
      </c>
      <c r="N33" s="17">
        <v>28</v>
      </c>
      <c r="O33" s="17">
        <v>23</v>
      </c>
      <c r="P33" s="17">
        <v>5</v>
      </c>
      <c r="Q33" s="17">
        <v>45</v>
      </c>
      <c r="R33" s="17">
        <v>26</v>
      </c>
      <c r="S33" s="17">
        <v>30</v>
      </c>
      <c r="T33" s="17">
        <v>14</v>
      </c>
      <c r="U33" s="17">
        <v>18</v>
      </c>
      <c r="V33" s="17">
        <v>33</v>
      </c>
      <c r="W33" s="17">
        <v>9</v>
      </c>
      <c r="X33" s="17">
        <v>35</v>
      </c>
      <c r="Y33" s="17">
        <v>25</v>
      </c>
      <c r="Z33" s="17">
        <v>14</v>
      </c>
      <c r="AA33" s="17">
        <v>28</v>
      </c>
      <c r="AB33" s="17">
        <v>24</v>
      </c>
      <c r="AC33" s="17">
        <v>30</v>
      </c>
      <c r="AD33" s="17">
        <v>6</v>
      </c>
      <c r="AE33" s="17">
        <v>27</v>
      </c>
      <c r="AF33" s="17">
        <v>20</v>
      </c>
      <c r="AG33" s="17">
        <f>SUM(C33:AF33)</f>
        <v>701</v>
      </c>
      <c r="AH33" s="17">
        <f>AG33/30</f>
        <v>23.366666666666667</v>
      </c>
      <c r="AI33" s="17">
        <f>+AH33*30</f>
        <v>701</v>
      </c>
    </row>
    <row r="34" spans="1:35" ht="15.75">
      <c r="A34" s="58">
        <v>28</v>
      </c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</row>
    <row r="35" spans="1:35" ht="16.5">
      <c r="A35" s="58">
        <v>29</v>
      </c>
      <c r="B35" s="48" t="s">
        <v>21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spans="1:35" ht="15.75">
      <c r="A36" s="58">
        <v>30</v>
      </c>
      <c r="B36" s="45" t="s">
        <v>22</v>
      </c>
      <c r="C36" s="15">
        <v>10909375.789999999</v>
      </c>
      <c r="D36" s="15">
        <v>10465779.950000007</v>
      </c>
      <c r="E36" s="15">
        <v>10142072.780000003</v>
      </c>
      <c r="F36" s="15">
        <v>9804109.4900000039</v>
      </c>
      <c r="G36" s="15">
        <v>9045051.6900000032</v>
      </c>
      <c r="H36" s="15">
        <v>6769749.2800000003</v>
      </c>
      <c r="I36" s="15">
        <v>261326.62</v>
      </c>
      <c r="J36" s="15">
        <v>11642627.83</v>
      </c>
      <c r="K36" s="15">
        <v>10127713.069999998</v>
      </c>
      <c r="L36" s="15">
        <v>9983407.129999999</v>
      </c>
      <c r="M36" s="15">
        <v>9792874.7799999975</v>
      </c>
      <c r="N36" s="15">
        <v>9957603.5699999966</v>
      </c>
      <c r="O36" s="15">
        <v>7697349.4099999992</v>
      </c>
      <c r="P36" s="15">
        <v>300243</v>
      </c>
      <c r="Q36" s="15">
        <v>11432399.409999998</v>
      </c>
      <c r="R36" s="15">
        <v>11541484.390000002</v>
      </c>
      <c r="S36" s="15">
        <v>10606247.27</v>
      </c>
      <c r="T36" s="15">
        <v>9923868.5999999996</v>
      </c>
      <c r="U36" s="15">
        <v>9611067.1099999994</v>
      </c>
      <c r="V36" s="15">
        <v>6614776.9000000004</v>
      </c>
      <c r="W36" s="15">
        <v>6629278.4199999999</v>
      </c>
      <c r="X36" s="15">
        <v>10130809.130000001</v>
      </c>
      <c r="Y36" s="15">
        <v>10629877.65</v>
      </c>
      <c r="Z36" s="15">
        <v>9949785.0399999991</v>
      </c>
      <c r="AA36" s="15">
        <v>9901827.1199999992</v>
      </c>
      <c r="AB36" s="15">
        <v>9859616.5</v>
      </c>
      <c r="AC36" s="15">
        <v>7027468.7400000002</v>
      </c>
      <c r="AD36" s="15">
        <v>236673</v>
      </c>
      <c r="AE36" s="15">
        <v>12240381.66</v>
      </c>
      <c r="AF36" s="15">
        <v>10530004.68</v>
      </c>
      <c r="AG36" s="15">
        <f>SUM(C36:AF36)</f>
        <v>263764850.01000002</v>
      </c>
      <c r="AH36" s="15">
        <f>AG36/30</f>
        <v>8792161.6670000013</v>
      </c>
      <c r="AI36" s="15">
        <f>+AH36*30</f>
        <v>263764850.01000005</v>
      </c>
    </row>
    <row r="37" spans="1:35" ht="15.75">
      <c r="A37" s="58">
        <v>31</v>
      </c>
      <c r="B37" s="45" t="s">
        <v>23</v>
      </c>
      <c r="C37" s="15">
        <v>29631012.989999998</v>
      </c>
      <c r="D37" s="15">
        <v>16329826.789999999</v>
      </c>
      <c r="E37" s="15">
        <v>20309819.329999998</v>
      </c>
      <c r="F37" s="15">
        <v>21175585.900000002</v>
      </c>
      <c r="G37" s="15">
        <v>18982112.039999992</v>
      </c>
      <c r="H37" s="15">
        <v>22247560.879999999</v>
      </c>
      <c r="I37" s="15">
        <v>4449404.97</v>
      </c>
      <c r="J37" s="15">
        <v>31901941.93</v>
      </c>
      <c r="K37" s="15">
        <v>19057596.540000014</v>
      </c>
      <c r="L37" s="15">
        <v>15108091.449999999</v>
      </c>
      <c r="M37" s="15">
        <v>21393588.150000002</v>
      </c>
      <c r="N37" s="15">
        <v>17929331.490000002</v>
      </c>
      <c r="O37" s="15">
        <v>18851184.269999996</v>
      </c>
      <c r="P37" s="15">
        <v>5729710.4100000001</v>
      </c>
      <c r="Q37" s="15">
        <v>31825351.059999999</v>
      </c>
      <c r="R37" s="15">
        <v>22014097.079999994</v>
      </c>
      <c r="S37" s="15">
        <v>23002599.41</v>
      </c>
      <c r="T37" s="15">
        <v>17779309</v>
      </c>
      <c r="U37" s="15">
        <v>19721932.219999999</v>
      </c>
      <c r="V37" s="15">
        <v>25404206.5</v>
      </c>
      <c r="W37" s="15">
        <v>4835673.92</v>
      </c>
      <c r="X37" s="15">
        <v>23643807.989999998</v>
      </c>
      <c r="Y37" s="15">
        <v>17346165.670000002</v>
      </c>
      <c r="Z37" s="15">
        <v>19366385.359999999</v>
      </c>
      <c r="AA37" s="15">
        <v>22664238.719999999</v>
      </c>
      <c r="AB37" s="15">
        <v>20331680.039999999</v>
      </c>
      <c r="AC37" s="15">
        <v>22079507.789999999</v>
      </c>
      <c r="AD37" s="15">
        <v>5565326.6500000004</v>
      </c>
      <c r="AE37" s="15">
        <v>25532712.710000001</v>
      </c>
      <c r="AF37" s="15">
        <v>19642313.390000001</v>
      </c>
      <c r="AG37" s="15">
        <f>SUM(C37:AF37)</f>
        <v>583852074.6500001</v>
      </c>
      <c r="AH37" s="15">
        <f>AG37/30</f>
        <v>19461735.821666669</v>
      </c>
      <c r="AI37" s="15">
        <f>+AH37*30</f>
        <v>583852074.6500001</v>
      </c>
    </row>
    <row r="38" spans="1:35" ht="16.5">
      <c r="A38" s="58">
        <v>32</v>
      </c>
      <c r="B38" s="51" t="s">
        <v>24</v>
      </c>
      <c r="C38" s="24">
        <f t="shared" ref="C38:AF38" si="10">SUM(C36:C37)</f>
        <v>40540388.780000001</v>
      </c>
      <c r="D38" s="24">
        <f t="shared" si="10"/>
        <v>26795606.740000006</v>
      </c>
      <c r="E38" s="24">
        <f t="shared" si="10"/>
        <v>30451892.109999999</v>
      </c>
      <c r="F38" s="24">
        <f t="shared" si="10"/>
        <v>30979695.390000008</v>
      </c>
      <c r="G38" s="24">
        <f t="shared" si="10"/>
        <v>28027163.729999997</v>
      </c>
      <c r="H38" s="24">
        <f t="shared" si="10"/>
        <v>29017310.16</v>
      </c>
      <c r="I38" s="24">
        <f t="shared" si="10"/>
        <v>4710731.59</v>
      </c>
      <c r="J38" s="24">
        <f t="shared" si="10"/>
        <v>43544569.759999998</v>
      </c>
      <c r="K38" s="24">
        <f t="shared" si="10"/>
        <v>29185309.610000014</v>
      </c>
      <c r="L38" s="24">
        <f t="shared" si="10"/>
        <v>25091498.579999998</v>
      </c>
      <c r="M38" s="24">
        <f t="shared" si="10"/>
        <v>31186462.93</v>
      </c>
      <c r="N38" s="24">
        <f t="shared" si="10"/>
        <v>27886935.059999999</v>
      </c>
      <c r="O38" s="24">
        <f t="shared" si="10"/>
        <v>26548533.679999996</v>
      </c>
      <c r="P38" s="24">
        <f t="shared" si="10"/>
        <v>6029953.4100000001</v>
      </c>
      <c r="Q38" s="24">
        <f t="shared" si="10"/>
        <v>43257750.469999999</v>
      </c>
      <c r="R38" s="24">
        <f t="shared" si="10"/>
        <v>33555581.469999999</v>
      </c>
      <c r="S38" s="24">
        <f t="shared" si="10"/>
        <v>33608846.68</v>
      </c>
      <c r="T38" s="24">
        <f t="shared" si="10"/>
        <v>27703177.600000001</v>
      </c>
      <c r="U38" s="24">
        <f t="shared" si="10"/>
        <v>29332999.329999998</v>
      </c>
      <c r="V38" s="24">
        <f t="shared" si="10"/>
        <v>32018983.399999999</v>
      </c>
      <c r="W38" s="24">
        <f t="shared" si="10"/>
        <v>11464952.34</v>
      </c>
      <c r="X38" s="24">
        <f t="shared" si="10"/>
        <v>33774617.119999997</v>
      </c>
      <c r="Y38" s="24">
        <f t="shared" si="10"/>
        <v>27976043.32</v>
      </c>
      <c r="Z38" s="24">
        <f t="shared" si="10"/>
        <v>29316170.399999999</v>
      </c>
      <c r="AA38" s="24">
        <f t="shared" si="10"/>
        <v>32566065.839999996</v>
      </c>
      <c r="AB38" s="24">
        <f t="shared" si="10"/>
        <v>30191296.539999999</v>
      </c>
      <c r="AC38" s="24">
        <f t="shared" si="10"/>
        <v>29106976.530000001</v>
      </c>
      <c r="AD38" s="24">
        <f t="shared" si="10"/>
        <v>5801999.6500000004</v>
      </c>
      <c r="AE38" s="24">
        <f t="shared" si="10"/>
        <v>37773094.370000005</v>
      </c>
      <c r="AF38" s="24">
        <f t="shared" si="10"/>
        <v>30172318.07</v>
      </c>
      <c r="AG38" s="24">
        <f>SUM(C38:AF38)</f>
        <v>847616924.66000009</v>
      </c>
      <c r="AH38" s="24">
        <f>AG38/30</f>
        <v>28253897.488666669</v>
      </c>
      <c r="AI38" s="24">
        <f>SUM(AI36:AI37)</f>
        <v>847616924.66000009</v>
      </c>
    </row>
    <row r="39" spans="1:35" ht="15.75">
      <c r="A39" s="58">
        <v>33</v>
      </c>
      <c r="B39" s="52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</row>
    <row r="40" spans="1:35" ht="16.5">
      <c r="A40" s="58">
        <v>34</v>
      </c>
      <c r="B40" s="48" t="s">
        <v>21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</row>
    <row r="41" spans="1:35" ht="15.75">
      <c r="A41" s="58">
        <v>35</v>
      </c>
      <c r="B41" s="49" t="s">
        <v>25</v>
      </c>
      <c r="C41" s="17">
        <f>+C48+C52</f>
        <v>39608666.769999996</v>
      </c>
      <c r="D41" s="17">
        <f>+D48+D52</f>
        <v>26403149.140000001</v>
      </c>
      <c r="E41" s="17">
        <f>+E48+E52</f>
        <v>30252146.109999999</v>
      </c>
      <c r="F41" s="17">
        <f>+F48+F52</f>
        <v>29398852.48</v>
      </c>
      <c r="G41" s="17">
        <f>+G48+G52</f>
        <v>26970992.84</v>
      </c>
      <c r="H41" s="17">
        <f t="shared" ref="H41:Q41" si="11">+H48+H52</f>
        <v>26960356.170000002</v>
      </c>
      <c r="I41" s="17">
        <f t="shared" si="11"/>
        <v>4616303.6900000004</v>
      </c>
      <c r="J41" s="17">
        <f t="shared" si="11"/>
        <v>43006563.640000001</v>
      </c>
      <c r="K41" s="17">
        <f t="shared" si="11"/>
        <v>28033255.890000001</v>
      </c>
      <c r="L41" s="17">
        <f t="shared" si="11"/>
        <v>23770760.449999996</v>
      </c>
      <c r="M41" s="17">
        <f t="shared" si="11"/>
        <v>29740286.690000005</v>
      </c>
      <c r="N41" s="17">
        <f t="shared" si="11"/>
        <v>27553466.059999995</v>
      </c>
      <c r="O41" s="17">
        <f t="shared" si="11"/>
        <v>26024772.390000001</v>
      </c>
      <c r="P41" s="17">
        <f t="shared" si="11"/>
        <v>3682692.74</v>
      </c>
      <c r="Q41" s="17">
        <f t="shared" si="11"/>
        <v>42247564.590000004</v>
      </c>
      <c r="R41" s="17">
        <v>33256393.719999999</v>
      </c>
      <c r="S41" s="17">
        <v>32946717.920000002</v>
      </c>
      <c r="T41" s="17">
        <v>25675227.25</v>
      </c>
      <c r="U41" s="17">
        <v>28963681.699999999</v>
      </c>
      <c r="V41" s="17">
        <v>31683719.859999999</v>
      </c>
      <c r="W41" s="17">
        <v>11405482.34</v>
      </c>
      <c r="X41" s="17">
        <v>32997635.68</v>
      </c>
      <c r="Y41" s="17">
        <v>26973884.190000001</v>
      </c>
      <c r="Z41" s="17">
        <v>28600256.219999999</v>
      </c>
      <c r="AA41" s="17">
        <v>31487231.09</v>
      </c>
      <c r="AB41" s="17">
        <v>27323284.809999999</v>
      </c>
      <c r="AC41" s="17">
        <v>28267922.420000002</v>
      </c>
      <c r="AD41" s="17">
        <v>5798929.6500000004</v>
      </c>
      <c r="AE41" s="17">
        <v>37128523.57</v>
      </c>
      <c r="AF41" s="17">
        <v>28720394.84</v>
      </c>
      <c r="AG41" s="17">
        <f>SUM(C41:AF41)</f>
        <v>819499114.91000009</v>
      </c>
      <c r="AH41" s="17">
        <f>AG41/30</f>
        <v>27316637.163666669</v>
      </c>
      <c r="AI41" s="17">
        <f>+AI48+AI52</f>
        <v>819498814.91000009</v>
      </c>
    </row>
    <row r="42" spans="1:35" ht="15.75">
      <c r="A42" s="58">
        <v>36</v>
      </c>
      <c r="B42" s="49" t="s">
        <v>26</v>
      </c>
      <c r="C42" s="17">
        <f>+C49+C58</f>
        <v>931722.01</v>
      </c>
      <c r="D42" s="17">
        <f>+D49+D58</f>
        <v>392457.6</v>
      </c>
      <c r="E42" s="17">
        <f>+E49+E58</f>
        <v>199746</v>
      </c>
      <c r="F42" s="17">
        <f>+F49+F58</f>
        <v>1580842.9100000001</v>
      </c>
      <c r="G42" s="17">
        <f>+G49+G58</f>
        <v>1056170.8899999999</v>
      </c>
      <c r="H42" s="17">
        <f t="shared" ref="H42:Q42" si="12">+H49+H58</f>
        <v>2056953.99</v>
      </c>
      <c r="I42" s="17">
        <f t="shared" si="12"/>
        <v>94427.9</v>
      </c>
      <c r="J42" s="17">
        <f t="shared" si="12"/>
        <v>538006.12</v>
      </c>
      <c r="K42" s="17">
        <f t="shared" si="12"/>
        <v>1152053.72</v>
      </c>
      <c r="L42" s="17">
        <f t="shared" si="12"/>
        <v>1320738.1299999999</v>
      </c>
      <c r="M42" s="17">
        <f t="shared" si="12"/>
        <v>1446176.24</v>
      </c>
      <c r="N42" s="17">
        <f t="shared" si="12"/>
        <v>333469</v>
      </c>
      <c r="O42" s="17">
        <f t="shared" si="12"/>
        <v>523761.29</v>
      </c>
      <c r="P42" s="17">
        <f t="shared" si="12"/>
        <v>2347260.67</v>
      </c>
      <c r="Q42" s="17">
        <f t="shared" si="12"/>
        <v>1010185.88</v>
      </c>
      <c r="R42" s="17">
        <v>299187.75</v>
      </c>
      <c r="S42" s="17">
        <v>662128.76</v>
      </c>
      <c r="T42" s="17">
        <v>2027950.35</v>
      </c>
      <c r="U42" s="17">
        <v>369317.63</v>
      </c>
      <c r="V42" s="17">
        <v>335263.53999999998</v>
      </c>
      <c r="W42" s="17">
        <v>59470</v>
      </c>
      <c r="X42" s="17">
        <v>776981.44</v>
      </c>
      <c r="Y42" s="17">
        <v>1002159.13</v>
      </c>
      <c r="Z42" s="17">
        <v>715914.18</v>
      </c>
      <c r="AA42" s="17">
        <v>1078834.75</v>
      </c>
      <c r="AB42" s="17">
        <v>2868011.73</v>
      </c>
      <c r="AC42" s="17">
        <v>839054.11</v>
      </c>
      <c r="AD42" s="17">
        <v>3070</v>
      </c>
      <c r="AE42" s="17">
        <v>644570.80000000005</v>
      </c>
      <c r="AF42" s="17">
        <v>1451923.23</v>
      </c>
      <c r="AG42" s="17">
        <f>SUM(C42:AF42)</f>
        <v>28117809.75</v>
      </c>
      <c r="AH42" s="17">
        <f>AG42/30</f>
        <v>937260.32499999995</v>
      </c>
      <c r="AI42" s="17">
        <f>+AI49+AI58</f>
        <v>28118109.719999995</v>
      </c>
    </row>
    <row r="43" spans="1:35" ht="16.5">
      <c r="A43" s="58">
        <v>37</v>
      </c>
      <c r="B43" s="51" t="s">
        <v>24</v>
      </c>
      <c r="C43" s="24">
        <f>SUM(C41:C42)</f>
        <v>40540388.779999994</v>
      </c>
      <c r="D43" s="24">
        <f>SUM(D41:D42)</f>
        <v>26795606.740000002</v>
      </c>
      <c r="E43" s="24">
        <f>SUM(E41:E42)</f>
        <v>30451892.109999999</v>
      </c>
      <c r="F43" s="24">
        <f>SUM(F41:F42)</f>
        <v>30979695.390000001</v>
      </c>
      <c r="G43" s="24">
        <f>SUM(G41:G42)</f>
        <v>28027163.73</v>
      </c>
      <c r="H43" s="24">
        <f t="shared" ref="H43:AF43" si="13">SUM(H41:H42)</f>
        <v>29017310.16</v>
      </c>
      <c r="I43" s="24">
        <f t="shared" si="13"/>
        <v>4710731.5900000008</v>
      </c>
      <c r="J43" s="24">
        <f t="shared" si="13"/>
        <v>43544569.759999998</v>
      </c>
      <c r="K43" s="24">
        <f t="shared" si="13"/>
        <v>29185309.609999999</v>
      </c>
      <c r="L43" s="24">
        <f t="shared" si="13"/>
        <v>25091498.579999994</v>
      </c>
      <c r="M43" s="24">
        <f t="shared" si="13"/>
        <v>31186462.930000003</v>
      </c>
      <c r="N43" s="24">
        <f t="shared" si="13"/>
        <v>27886935.059999995</v>
      </c>
      <c r="O43" s="24">
        <f t="shared" si="13"/>
        <v>26548533.68</v>
      </c>
      <c r="P43" s="24">
        <f t="shared" si="13"/>
        <v>6029953.4100000001</v>
      </c>
      <c r="Q43" s="24">
        <f t="shared" si="13"/>
        <v>43257750.470000006</v>
      </c>
      <c r="R43" s="24">
        <f t="shared" si="13"/>
        <v>33555581.469999999</v>
      </c>
      <c r="S43" s="24">
        <f t="shared" si="13"/>
        <v>33608846.68</v>
      </c>
      <c r="T43" s="24">
        <f t="shared" si="13"/>
        <v>27703177.600000001</v>
      </c>
      <c r="U43" s="24">
        <f t="shared" si="13"/>
        <v>29332999.329999998</v>
      </c>
      <c r="V43" s="24">
        <f t="shared" si="13"/>
        <v>32018983.399999999</v>
      </c>
      <c r="W43" s="24">
        <f t="shared" si="13"/>
        <v>11464952.34</v>
      </c>
      <c r="X43" s="24">
        <f>SUM(X41:X42)</f>
        <v>33774617.119999997</v>
      </c>
      <c r="Y43" s="24">
        <f t="shared" si="13"/>
        <v>27976043.32</v>
      </c>
      <c r="Z43" s="24">
        <f t="shared" si="13"/>
        <v>29316170.399999999</v>
      </c>
      <c r="AA43" s="24">
        <f t="shared" si="13"/>
        <v>32566065.84</v>
      </c>
      <c r="AB43" s="24">
        <f t="shared" si="13"/>
        <v>30191296.539999999</v>
      </c>
      <c r="AC43" s="24">
        <f t="shared" si="13"/>
        <v>29106976.530000001</v>
      </c>
      <c r="AD43" s="24">
        <f t="shared" si="13"/>
        <v>5801999.6500000004</v>
      </c>
      <c r="AE43" s="24">
        <f t="shared" si="13"/>
        <v>37773094.369999997</v>
      </c>
      <c r="AF43" s="24">
        <f t="shared" si="13"/>
        <v>30172318.07</v>
      </c>
      <c r="AG43" s="24">
        <f>SUM(C43:AF43)</f>
        <v>847616924.66000009</v>
      </c>
      <c r="AH43" s="24">
        <f>AG43/30</f>
        <v>28253897.488666669</v>
      </c>
      <c r="AI43" s="24">
        <f>SUM(AI41:AI42)</f>
        <v>847616924.63000011</v>
      </c>
    </row>
    <row r="44" spans="1:35" ht="15.75">
      <c r="A44" s="58">
        <v>38</v>
      </c>
      <c r="B44" s="52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</row>
    <row r="45" spans="1:35" ht="16.5">
      <c r="A45" s="58">
        <v>39</v>
      </c>
      <c r="B45" s="48" t="s">
        <v>21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</row>
    <row r="46" spans="1:35" ht="16.5">
      <c r="A46" s="58">
        <v>40</v>
      </c>
      <c r="B46" s="48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</row>
    <row r="47" spans="1:35" ht="18">
      <c r="A47" s="58">
        <v>41</v>
      </c>
      <c r="B47" s="53" t="s">
        <v>27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spans="1:35" ht="15.75">
      <c r="A48" s="58">
        <v>42</v>
      </c>
      <c r="B48" s="45" t="s">
        <v>25</v>
      </c>
      <c r="C48" s="15">
        <v>19809873.890000001</v>
      </c>
      <c r="D48" s="15">
        <v>16425060.250000004</v>
      </c>
      <c r="E48" s="15">
        <v>17461764.34</v>
      </c>
      <c r="F48" s="15">
        <v>17822604.84</v>
      </c>
      <c r="G48" s="15">
        <v>16306190.669999998</v>
      </c>
      <c r="H48" s="15">
        <v>17766297.710000001</v>
      </c>
      <c r="I48" s="15">
        <v>4166915.37</v>
      </c>
      <c r="J48" s="15">
        <v>20961047.079999998</v>
      </c>
      <c r="K48" s="15">
        <v>18693843.109999999</v>
      </c>
      <c r="L48" s="15">
        <v>15705080.739999996</v>
      </c>
      <c r="M48" s="15">
        <v>18275331.530000005</v>
      </c>
      <c r="N48" s="15">
        <v>16195912.34</v>
      </c>
      <c r="O48" s="15">
        <v>16616777.120000001</v>
      </c>
      <c r="P48" s="15">
        <v>3555320.3000000003</v>
      </c>
      <c r="Q48" s="15">
        <v>23186605.259999998</v>
      </c>
      <c r="R48" s="15">
        <v>18810663.489999998</v>
      </c>
      <c r="S48" s="15">
        <v>20009854.260000002</v>
      </c>
      <c r="T48" s="15">
        <v>17048603.300000001</v>
      </c>
      <c r="U48" s="15">
        <v>17503925.719999999</v>
      </c>
      <c r="V48" s="15">
        <v>18779130.649999999</v>
      </c>
      <c r="W48" s="15">
        <v>8457452.4700000007</v>
      </c>
      <c r="X48" s="15">
        <v>19453222.629999999</v>
      </c>
      <c r="Y48" s="15">
        <v>16662078.369999999</v>
      </c>
      <c r="Z48" s="15">
        <v>18695656.370000001</v>
      </c>
      <c r="AA48" s="15">
        <v>15428807.41</v>
      </c>
      <c r="AB48" s="15">
        <v>16093933.83</v>
      </c>
      <c r="AC48" s="15">
        <v>15812158.1</v>
      </c>
      <c r="AD48" s="15">
        <v>4502461.4000000004</v>
      </c>
      <c r="AE48" s="15">
        <v>21646763.34</v>
      </c>
      <c r="AF48" s="15">
        <v>18839893.460000001</v>
      </c>
      <c r="AG48" s="15">
        <f>SUM(C48:AF48)</f>
        <v>490693229.35000002</v>
      </c>
      <c r="AH48" s="15">
        <f>AG48/30</f>
        <v>16356440.978333334</v>
      </c>
      <c r="AI48" s="15">
        <f>+AH48*30</f>
        <v>490693229.35000002</v>
      </c>
    </row>
    <row r="49" spans="1:35" ht="15.75">
      <c r="A49" s="58">
        <v>43</v>
      </c>
      <c r="B49" s="45" t="s">
        <v>26</v>
      </c>
      <c r="C49" s="15">
        <v>470932</v>
      </c>
      <c r="D49" s="15">
        <v>221979.72999999998</v>
      </c>
      <c r="E49" s="15">
        <v>175136</v>
      </c>
      <c r="F49" s="15">
        <v>81310</v>
      </c>
      <c r="G49" s="15">
        <v>222298.82</v>
      </c>
      <c r="H49" s="15">
        <v>172578</v>
      </c>
      <c r="I49" s="15">
        <v>94427.9</v>
      </c>
      <c r="J49" s="15">
        <v>429820.02</v>
      </c>
      <c r="K49" s="15">
        <v>747314.3</v>
      </c>
      <c r="L49" s="15">
        <v>180725</v>
      </c>
      <c r="M49" s="15">
        <v>136918</v>
      </c>
      <c r="N49" s="15">
        <v>253959</v>
      </c>
      <c r="O49" s="15">
        <v>69828</v>
      </c>
      <c r="P49" s="15">
        <v>1537128.14</v>
      </c>
      <c r="Q49" s="15">
        <v>195095</v>
      </c>
      <c r="R49" s="15">
        <v>235265</v>
      </c>
      <c r="S49" s="15">
        <v>602638.76</v>
      </c>
      <c r="T49" s="15">
        <v>169420</v>
      </c>
      <c r="U49" s="15">
        <v>129410</v>
      </c>
      <c r="V49" s="15">
        <v>292212.69</v>
      </c>
      <c r="W49" s="15">
        <v>55330</v>
      </c>
      <c r="X49" s="15">
        <v>168124.79</v>
      </c>
      <c r="Y49" s="15">
        <v>549791.13</v>
      </c>
      <c r="Z49" s="15">
        <v>347231.68</v>
      </c>
      <c r="AA49" s="15">
        <v>1077894.75</v>
      </c>
      <c r="AB49" s="15">
        <v>1162570.26</v>
      </c>
      <c r="AC49" s="15">
        <v>607657</v>
      </c>
      <c r="AD49" s="15">
        <v>3070</v>
      </c>
      <c r="AE49" s="15">
        <v>462641.27</v>
      </c>
      <c r="AF49" s="15">
        <v>1033374.28</v>
      </c>
      <c r="AG49" s="15">
        <f>SUM(C49:AF49)</f>
        <v>11886081.52</v>
      </c>
      <c r="AH49" s="15">
        <f>AG49/30</f>
        <v>396202.71733333333</v>
      </c>
      <c r="AI49" s="15">
        <f>+AH49*30</f>
        <v>11886081.52</v>
      </c>
    </row>
    <row r="50" spans="1:35" ht="15.75">
      <c r="A50" s="58">
        <v>44</v>
      </c>
      <c r="B50" s="49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spans="1:35" ht="18">
      <c r="A51" s="58">
        <v>45</v>
      </c>
      <c r="B51" s="53" t="s">
        <v>28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spans="1:35" ht="15.75">
      <c r="A52" s="58">
        <v>46</v>
      </c>
      <c r="B52" s="45" t="s">
        <v>25</v>
      </c>
      <c r="C52" s="15">
        <f t="shared" ref="C52:AF52" si="14">SUM(C53:C56)</f>
        <v>19798792.879999999</v>
      </c>
      <c r="D52" s="15">
        <f t="shared" si="14"/>
        <v>9978088.8899999987</v>
      </c>
      <c r="E52" s="15">
        <f t="shared" si="14"/>
        <v>12790381.770000001</v>
      </c>
      <c r="F52" s="15">
        <f t="shared" si="14"/>
        <v>11576247.640000001</v>
      </c>
      <c r="G52" s="15">
        <f t="shared" si="14"/>
        <v>10664802.170000002</v>
      </c>
      <c r="H52" s="15">
        <f t="shared" si="14"/>
        <v>9194058.4600000009</v>
      </c>
      <c r="I52" s="15">
        <f t="shared" si="14"/>
        <v>449388.32</v>
      </c>
      <c r="J52" s="15">
        <f t="shared" si="14"/>
        <v>22045516.559999999</v>
      </c>
      <c r="K52" s="15">
        <f t="shared" si="14"/>
        <v>9339412.7800000012</v>
      </c>
      <c r="L52" s="15">
        <f t="shared" si="14"/>
        <v>8065679.7100000009</v>
      </c>
      <c r="M52" s="15">
        <f t="shared" si="14"/>
        <v>11464955.16</v>
      </c>
      <c r="N52" s="15">
        <f t="shared" si="14"/>
        <v>11357553.719999997</v>
      </c>
      <c r="O52" s="15">
        <f t="shared" si="14"/>
        <v>9407995.2699999977</v>
      </c>
      <c r="P52" s="15">
        <f t="shared" si="14"/>
        <v>127372.44</v>
      </c>
      <c r="Q52" s="15">
        <f t="shared" si="14"/>
        <v>19060959.330000006</v>
      </c>
      <c r="R52" s="15">
        <f t="shared" si="14"/>
        <v>14445730.23</v>
      </c>
      <c r="S52" s="15">
        <f t="shared" si="14"/>
        <v>12936863.66</v>
      </c>
      <c r="T52" s="15">
        <f t="shared" si="14"/>
        <v>8626623.9499999993</v>
      </c>
      <c r="U52" s="15">
        <f t="shared" si="14"/>
        <v>11459755.98</v>
      </c>
      <c r="V52" s="15">
        <f t="shared" si="14"/>
        <v>12904589.209999999</v>
      </c>
      <c r="W52" s="15">
        <f t="shared" si="14"/>
        <v>2948029.8699999996</v>
      </c>
      <c r="X52" s="15">
        <f t="shared" si="14"/>
        <v>13544113.050000001</v>
      </c>
      <c r="Y52" s="15">
        <f t="shared" si="14"/>
        <v>10311805.82</v>
      </c>
      <c r="Z52" s="15">
        <f t="shared" si="14"/>
        <v>9904599.8500000015</v>
      </c>
      <c r="AA52" s="15">
        <f t="shared" si="14"/>
        <v>16058423.68</v>
      </c>
      <c r="AB52" s="15">
        <f t="shared" si="14"/>
        <v>11229350.98</v>
      </c>
      <c r="AC52" s="15">
        <f t="shared" si="14"/>
        <v>12455764.319999998</v>
      </c>
      <c r="AD52" s="15">
        <f t="shared" si="14"/>
        <v>1296468.25</v>
      </c>
      <c r="AE52" s="15">
        <f t="shared" si="14"/>
        <v>15481760.23</v>
      </c>
      <c r="AF52" s="15">
        <f t="shared" si="14"/>
        <v>9880501.379999999</v>
      </c>
      <c r="AG52" s="15">
        <f>SUM(C52:AF52)</f>
        <v>328805585.56</v>
      </c>
      <c r="AH52" s="15">
        <f>AG52/30</f>
        <v>10960186.185333334</v>
      </c>
      <c r="AI52" s="15">
        <f>SUM(AI53:AI56)</f>
        <v>328805585.56</v>
      </c>
    </row>
    <row r="53" spans="1:35" ht="15.75">
      <c r="A53" s="58">
        <v>47</v>
      </c>
      <c r="B53" s="49" t="s">
        <v>29</v>
      </c>
      <c r="C53" s="17">
        <v>8389986.6600000001</v>
      </c>
      <c r="D53" s="17">
        <v>3224708.8899999992</v>
      </c>
      <c r="E53" s="17">
        <v>3018692.82</v>
      </c>
      <c r="F53" s="17">
        <v>2854583.77</v>
      </c>
      <c r="G53" s="17">
        <v>2335441.6900000004</v>
      </c>
      <c r="H53" s="17">
        <v>3428237.28</v>
      </c>
      <c r="I53" s="17">
        <v>0</v>
      </c>
      <c r="J53" s="17">
        <v>5599659.2699999996</v>
      </c>
      <c r="K53" s="17">
        <v>3295664.02</v>
      </c>
      <c r="L53" s="17">
        <v>2555230.2200000007</v>
      </c>
      <c r="M53" s="17">
        <v>4383921.26</v>
      </c>
      <c r="N53" s="17">
        <v>4151005.8599999994</v>
      </c>
      <c r="O53" s="17">
        <v>2149517.0400000005</v>
      </c>
      <c r="P53" s="17">
        <v>0</v>
      </c>
      <c r="Q53" s="17">
        <v>5489360.3599999994</v>
      </c>
      <c r="R53" s="17">
        <v>4585645.45</v>
      </c>
      <c r="S53" s="17">
        <v>4156950.8</v>
      </c>
      <c r="T53" s="17">
        <v>3302423.91</v>
      </c>
      <c r="U53" s="17">
        <v>2188247.15</v>
      </c>
      <c r="V53" s="17">
        <v>3561895.44</v>
      </c>
      <c r="W53" s="17">
        <v>1112679.94</v>
      </c>
      <c r="X53" s="17">
        <v>3454518.46</v>
      </c>
      <c r="Y53" s="17">
        <v>3665851.74</v>
      </c>
      <c r="Z53" s="17">
        <v>2223688.1</v>
      </c>
      <c r="AA53" s="17">
        <v>4323039.59</v>
      </c>
      <c r="AB53" s="17">
        <v>2218221.2799999998</v>
      </c>
      <c r="AC53" s="17">
        <v>2938738.2</v>
      </c>
      <c r="AD53" s="17">
        <v>0</v>
      </c>
      <c r="AE53" s="17">
        <v>3954031.24</v>
      </c>
      <c r="AF53" s="17">
        <v>3256851.2</v>
      </c>
      <c r="AG53" s="17">
        <f>SUM(C53:AF53)</f>
        <v>95818791.639999986</v>
      </c>
      <c r="AH53" s="17">
        <f>AG53/30</f>
        <v>3193959.7213333328</v>
      </c>
      <c r="AI53" s="17">
        <f>+AH53*30</f>
        <v>95818791.639999986</v>
      </c>
    </row>
    <row r="54" spans="1:35" ht="15.75">
      <c r="A54" s="58">
        <v>48</v>
      </c>
      <c r="B54" s="49" t="s">
        <v>30</v>
      </c>
      <c r="C54" s="17">
        <v>0</v>
      </c>
      <c r="D54" s="17">
        <v>0</v>
      </c>
      <c r="E54" s="17">
        <v>497440</v>
      </c>
      <c r="F54" s="17">
        <v>0</v>
      </c>
      <c r="G54" s="17">
        <v>0</v>
      </c>
      <c r="H54" s="17">
        <v>0</v>
      </c>
      <c r="I54" s="17">
        <v>0</v>
      </c>
      <c r="J54" s="17">
        <v>351163.97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635196.16000000003</v>
      </c>
      <c r="Y54" s="17">
        <v>391802.6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53118.28</v>
      </c>
      <c r="AG54" s="17">
        <f>SUM(C54:AF54)</f>
        <v>1928721.01</v>
      </c>
      <c r="AH54" s="17">
        <f>AG54/30</f>
        <v>64290.700333333334</v>
      </c>
      <c r="AI54" s="17">
        <f>+AH54*30</f>
        <v>1928721.01</v>
      </c>
    </row>
    <row r="55" spans="1:35" ht="15.75">
      <c r="A55" s="58">
        <v>49</v>
      </c>
      <c r="B55" s="49" t="s">
        <v>31</v>
      </c>
      <c r="C55" s="17">
        <v>9513904.5</v>
      </c>
      <c r="D55" s="17">
        <v>6256000.3300000001</v>
      </c>
      <c r="E55" s="17">
        <v>8541399.3900000006</v>
      </c>
      <c r="F55" s="17">
        <v>7300649.4699999997</v>
      </c>
      <c r="G55" s="17">
        <v>7733515.5899999999</v>
      </c>
      <c r="H55" s="17">
        <v>4873580.2</v>
      </c>
      <c r="I55" s="17">
        <v>26474</v>
      </c>
      <c r="J55" s="17">
        <v>15725713.32</v>
      </c>
      <c r="K55" s="17">
        <v>4942293.8899999997</v>
      </c>
      <c r="L55" s="17">
        <v>5101739.49</v>
      </c>
      <c r="M55" s="17">
        <v>5982685.3100000005</v>
      </c>
      <c r="N55" s="17">
        <v>6230640.0299999984</v>
      </c>
      <c r="O55" s="17">
        <v>6553880.9799999967</v>
      </c>
      <c r="P55" s="17">
        <v>127372.44</v>
      </c>
      <c r="Q55" s="17">
        <v>12415804.620000003</v>
      </c>
      <c r="R55" s="17">
        <v>8138207.0599999996</v>
      </c>
      <c r="S55" s="17">
        <v>8107852.29</v>
      </c>
      <c r="T55" s="17">
        <v>5009148.18</v>
      </c>
      <c r="U55" s="17">
        <v>8937446.1199999992</v>
      </c>
      <c r="V55" s="17">
        <v>8437998.5099999998</v>
      </c>
      <c r="W55" s="17">
        <v>1303964.74</v>
      </c>
      <c r="X55" s="17">
        <v>8302188.6100000003</v>
      </c>
      <c r="Y55" s="17">
        <v>4599819.4800000004</v>
      </c>
      <c r="Z55" s="17">
        <v>6194208.04</v>
      </c>
      <c r="AA55" s="17">
        <v>10256390.51</v>
      </c>
      <c r="AB55" s="17">
        <v>8160085.8700000001</v>
      </c>
      <c r="AC55" s="17">
        <v>8751456.1099999994</v>
      </c>
      <c r="AD55" s="17">
        <v>1296468.25</v>
      </c>
      <c r="AE55" s="17">
        <v>10566664.050000001</v>
      </c>
      <c r="AF55" s="17">
        <v>5928265.8600000003</v>
      </c>
      <c r="AG55" s="17">
        <f>SUM(C55:AF55)</f>
        <v>205315817.24000001</v>
      </c>
      <c r="AH55" s="17">
        <f>AG55/30</f>
        <v>6843860.5746666668</v>
      </c>
      <c r="AI55" s="17">
        <f>+AH55*30</f>
        <v>205315817.24000001</v>
      </c>
    </row>
    <row r="56" spans="1:35" ht="15.75">
      <c r="A56" s="58">
        <v>50</v>
      </c>
      <c r="B56" s="49" t="s">
        <v>32</v>
      </c>
      <c r="C56" s="17">
        <v>1894901.72</v>
      </c>
      <c r="D56" s="17">
        <v>497379.67</v>
      </c>
      <c r="E56" s="17">
        <v>732849.56</v>
      </c>
      <c r="F56" s="17">
        <v>1421014.4</v>
      </c>
      <c r="G56" s="17">
        <v>595844.89</v>
      </c>
      <c r="H56" s="17">
        <v>892240.98</v>
      </c>
      <c r="I56" s="17">
        <v>422914.32</v>
      </c>
      <c r="J56" s="17">
        <v>368980</v>
      </c>
      <c r="K56" s="17">
        <v>1101454.8700000001</v>
      </c>
      <c r="L56" s="17">
        <v>408710</v>
      </c>
      <c r="M56" s="17">
        <v>1098348.5899999999</v>
      </c>
      <c r="N56" s="17">
        <v>975907.83</v>
      </c>
      <c r="O56" s="17">
        <v>704597.25</v>
      </c>
      <c r="P56" s="17">
        <v>0</v>
      </c>
      <c r="Q56" s="17">
        <v>1155794.3500000001</v>
      </c>
      <c r="R56" s="17">
        <v>1721877.72</v>
      </c>
      <c r="S56" s="17">
        <v>672060.57</v>
      </c>
      <c r="T56" s="17">
        <v>315051.86</v>
      </c>
      <c r="U56" s="17">
        <v>334062.71000000002</v>
      </c>
      <c r="V56" s="17">
        <v>904695.26</v>
      </c>
      <c r="W56" s="17">
        <v>531385.18999999994</v>
      </c>
      <c r="X56" s="17">
        <v>1152209.82</v>
      </c>
      <c r="Y56" s="17">
        <v>1654332</v>
      </c>
      <c r="Z56" s="17">
        <v>1486703.71</v>
      </c>
      <c r="AA56" s="17">
        <v>1478993.58</v>
      </c>
      <c r="AB56" s="17">
        <v>851043.83</v>
      </c>
      <c r="AC56" s="17">
        <v>765570.01</v>
      </c>
      <c r="AD56" s="17">
        <v>0</v>
      </c>
      <c r="AE56" s="17">
        <v>961064.94</v>
      </c>
      <c r="AF56" s="17">
        <v>642266.04</v>
      </c>
      <c r="AG56" s="17">
        <f>SUM(C56:AF56)</f>
        <v>25742255.670000002</v>
      </c>
      <c r="AH56" s="17">
        <f>AG56/30</f>
        <v>858075.18900000001</v>
      </c>
      <c r="AI56" s="17">
        <f>+AH56*30</f>
        <v>25742255.670000002</v>
      </c>
    </row>
    <row r="57" spans="1:35" ht="15.75">
      <c r="A57" s="58">
        <v>51</v>
      </c>
      <c r="B57" s="49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</row>
    <row r="58" spans="1:35" ht="15.75">
      <c r="A58" s="58">
        <v>52</v>
      </c>
      <c r="B58" s="45" t="s">
        <v>26</v>
      </c>
      <c r="C58" s="15">
        <f t="shared" ref="C58:AF58" si="15">SUM(C59:C60)</f>
        <v>460790.01</v>
      </c>
      <c r="D58" s="15">
        <f t="shared" si="15"/>
        <v>170477.87</v>
      </c>
      <c r="E58" s="15">
        <f t="shared" si="15"/>
        <v>24610</v>
      </c>
      <c r="F58" s="15">
        <f t="shared" si="15"/>
        <v>1499532.9100000001</v>
      </c>
      <c r="G58" s="15">
        <f t="shared" si="15"/>
        <v>833872.07</v>
      </c>
      <c r="H58" s="15">
        <f t="shared" si="15"/>
        <v>1884375.99</v>
      </c>
      <c r="I58" s="15">
        <f t="shared" si="15"/>
        <v>0</v>
      </c>
      <c r="J58" s="15">
        <f t="shared" si="15"/>
        <v>108186.1</v>
      </c>
      <c r="K58" s="15">
        <f t="shared" si="15"/>
        <v>404739.42</v>
      </c>
      <c r="L58" s="15">
        <f t="shared" si="15"/>
        <v>1140013.1299999999</v>
      </c>
      <c r="M58" s="15">
        <f t="shared" si="15"/>
        <v>1309258.24</v>
      </c>
      <c r="N58" s="15">
        <f t="shared" si="15"/>
        <v>79510</v>
      </c>
      <c r="O58" s="15">
        <f t="shared" si="15"/>
        <v>453933.29</v>
      </c>
      <c r="P58" s="15">
        <f t="shared" si="15"/>
        <v>810132.53</v>
      </c>
      <c r="Q58" s="15">
        <f t="shared" si="15"/>
        <v>815090.88</v>
      </c>
      <c r="R58" s="15">
        <f t="shared" si="15"/>
        <v>63922.75</v>
      </c>
      <c r="S58" s="15">
        <f t="shared" si="15"/>
        <v>59490</v>
      </c>
      <c r="T58" s="15">
        <f t="shared" si="15"/>
        <v>1858530.35</v>
      </c>
      <c r="U58" s="15">
        <f t="shared" si="15"/>
        <v>239907.6</v>
      </c>
      <c r="V58" s="15">
        <f t="shared" si="15"/>
        <v>43050.85</v>
      </c>
      <c r="W58" s="15">
        <f t="shared" si="15"/>
        <v>4140</v>
      </c>
      <c r="X58" s="15">
        <f t="shared" si="15"/>
        <v>609156.65</v>
      </c>
      <c r="Y58" s="15">
        <f t="shared" si="15"/>
        <v>452368</v>
      </c>
      <c r="Z58" s="15">
        <f t="shared" si="15"/>
        <v>368682.5</v>
      </c>
      <c r="AA58" s="15">
        <f t="shared" si="15"/>
        <v>940</v>
      </c>
      <c r="AB58" s="15">
        <f t="shared" si="15"/>
        <v>1705441.47</v>
      </c>
      <c r="AC58" s="15">
        <f t="shared" si="15"/>
        <v>231397.11</v>
      </c>
      <c r="AD58" s="15">
        <f t="shared" si="15"/>
        <v>0</v>
      </c>
      <c r="AE58" s="15">
        <f t="shared" si="15"/>
        <v>181929.53</v>
      </c>
      <c r="AF58" s="15">
        <f t="shared" si="15"/>
        <v>418548.95</v>
      </c>
      <c r="AG58" s="15">
        <f>SUM(C58:AF58)</f>
        <v>16232028.199999997</v>
      </c>
      <c r="AH58" s="15">
        <f>AG58/30</f>
        <v>541067.60666666657</v>
      </c>
      <c r="AI58" s="15">
        <f>SUM(AI59:AI60)</f>
        <v>16232028.199999996</v>
      </c>
    </row>
    <row r="59" spans="1:35" ht="15.75">
      <c r="A59" s="58">
        <v>53</v>
      </c>
      <c r="B59" s="49" t="s">
        <v>33</v>
      </c>
      <c r="C59" s="17">
        <v>460790.01</v>
      </c>
      <c r="D59" s="17">
        <v>170477.87</v>
      </c>
      <c r="E59" s="17">
        <v>24610</v>
      </c>
      <c r="F59" s="17">
        <v>920195.43</v>
      </c>
      <c r="G59" s="17">
        <v>833872.07</v>
      </c>
      <c r="H59" s="17">
        <v>1884375.99</v>
      </c>
      <c r="I59" s="17">
        <v>0</v>
      </c>
      <c r="J59" s="17">
        <v>108186.1</v>
      </c>
      <c r="K59" s="17">
        <v>404739.42</v>
      </c>
      <c r="L59" s="17">
        <v>124740.02</v>
      </c>
      <c r="M59" s="17">
        <v>1309258.24</v>
      </c>
      <c r="N59" s="17">
        <v>79510</v>
      </c>
      <c r="O59" s="17">
        <v>453933.29</v>
      </c>
      <c r="P59" s="17">
        <v>0</v>
      </c>
      <c r="Q59" s="17">
        <v>815090.88</v>
      </c>
      <c r="R59" s="17">
        <v>62772.75</v>
      </c>
      <c r="S59" s="17">
        <v>59490</v>
      </c>
      <c r="T59" s="17">
        <v>415193.51</v>
      </c>
      <c r="U59" s="17">
        <v>11730</v>
      </c>
      <c r="V59" s="17">
        <v>43050.85</v>
      </c>
      <c r="W59" s="17">
        <v>4140</v>
      </c>
      <c r="X59" s="17">
        <v>609156.65</v>
      </c>
      <c r="Y59" s="17">
        <v>452368</v>
      </c>
      <c r="Z59" s="17">
        <v>368682.5</v>
      </c>
      <c r="AA59" s="17">
        <v>940</v>
      </c>
      <c r="AB59" s="17">
        <v>1705441.47</v>
      </c>
      <c r="AC59" s="17">
        <v>231397.11</v>
      </c>
      <c r="AD59" s="17">
        <v>0</v>
      </c>
      <c r="AE59" s="17">
        <v>181929.53</v>
      </c>
      <c r="AF59" s="17">
        <v>418548.95</v>
      </c>
      <c r="AG59" s="17">
        <f>SUM(C59:AF59)</f>
        <v>12154620.639999997</v>
      </c>
      <c r="AH59" s="17">
        <f>AG59/30</f>
        <v>405154.02133333322</v>
      </c>
      <c r="AI59" s="17">
        <f>+AH59*30</f>
        <v>12154620.639999997</v>
      </c>
    </row>
    <row r="60" spans="1:35" ht="15.75">
      <c r="A60" s="58">
        <v>54</v>
      </c>
      <c r="B60" s="49" t="s">
        <v>32</v>
      </c>
      <c r="C60" s="17">
        <v>0</v>
      </c>
      <c r="D60" s="17">
        <v>0</v>
      </c>
      <c r="E60" s="17">
        <v>0</v>
      </c>
      <c r="F60" s="17">
        <v>579337.48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1015273.11</v>
      </c>
      <c r="M60" s="17">
        <v>0</v>
      </c>
      <c r="N60" s="17">
        <v>0</v>
      </c>
      <c r="O60" s="17">
        <v>0</v>
      </c>
      <c r="P60" s="17">
        <v>810132.53</v>
      </c>
      <c r="Q60" s="17">
        <v>0</v>
      </c>
      <c r="R60" s="17">
        <v>1150</v>
      </c>
      <c r="S60" s="17">
        <v>0</v>
      </c>
      <c r="T60" s="17">
        <v>1443336.84</v>
      </c>
      <c r="U60" s="17">
        <v>228177.6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/>
      <c r="AG60" s="17">
        <f>SUM(C60:AF60)</f>
        <v>4077407.56</v>
      </c>
      <c r="AH60" s="17">
        <f>AG60/30</f>
        <v>135913.58533333332</v>
      </c>
      <c r="AI60" s="17">
        <f>+AH60*30</f>
        <v>4077407.5599999996</v>
      </c>
    </row>
    <row r="61" spans="1:35" ht="16.5">
      <c r="A61" s="58">
        <v>55</v>
      </c>
      <c r="B61" s="51" t="s">
        <v>24</v>
      </c>
      <c r="C61" s="24">
        <f t="shared" ref="C61:AF61" si="16">+C48+C49+C52+C58</f>
        <v>40540388.779999994</v>
      </c>
      <c r="D61" s="24">
        <f t="shared" si="16"/>
        <v>26795606.740000006</v>
      </c>
      <c r="E61" s="24">
        <f t="shared" si="16"/>
        <v>30451892.109999999</v>
      </c>
      <c r="F61" s="24">
        <f t="shared" si="16"/>
        <v>30979695.390000001</v>
      </c>
      <c r="G61" s="24">
        <f t="shared" si="16"/>
        <v>28027163.73</v>
      </c>
      <c r="H61" s="24">
        <f t="shared" si="16"/>
        <v>29017310.16</v>
      </c>
      <c r="I61" s="24">
        <f t="shared" si="16"/>
        <v>4710731.5900000008</v>
      </c>
      <c r="J61" s="24">
        <f t="shared" si="16"/>
        <v>43544569.759999998</v>
      </c>
      <c r="K61" s="24">
        <f t="shared" si="16"/>
        <v>29185309.610000003</v>
      </c>
      <c r="L61" s="24">
        <f t="shared" si="16"/>
        <v>25091498.579999994</v>
      </c>
      <c r="M61" s="24">
        <f t="shared" si="16"/>
        <v>31186462.930000003</v>
      </c>
      <c r="N61" s="24">
        <f t="shared" si="16"/>
        <v>27886935.059999995</v>
      </c>
      <c r="O61" s="24">
        <f t="shared" si="16"/>
        <v>26548533.68</v>
      </c>
      <c r="P61" s="24">
        <f t="shared" si="16"/>
        <v>6029953.4100000011</v>
      </c>
      <c r="Q61" s="24">
        <f t="shared" si="16"/>
        <v>43257750.470000006</v>
      </c>
      <c r="R61" s="24">
        <f t="shared" si="16"/>
        <v>33555581.469999999</v>
      </c>
      <c r="S61" s="24">
        <f t="shared" si="16"/>
        <v>33608846.680000007</v>
      </c>
      <c r="T61" s="24">
        <f t="shared" si="16"/>
        <v>27703177.600000001</v>
      </c>
      <c r="U61" s="24">
        <f t="shared" si="16"/>
        <v>29332999.300000001</v>
      </c>
      <c r="V61" s="24">
        <f t="shared" si="16"/>
        <v>32018983.399999999</v>
      </c>
      <c r="W61" s="24">
        <f t="shared" si="16"/>
        <v>11464952.34</v>
      </c>
      <c r="X61" s="24">
        <f t="shared" si="16"/>
        <v>33774617.119999997</v>
      </c>
      <c r="Y61" s="24">
        <f t="shared" si="16"/>
        <v>27976043.32</v>
      </c>
      <c r="Z61" s="24">
        <f t="shared" si="16"/>
        <v>29316170.400000002</v>
      </c>
      <c r="AA61" s="24">
        <f t="shared" si="16"/>
        <v>32566065.84</v>
      </c>
      <c r="AB61" s="24">
        <f t="shared" si="16"/>
        <v>30191296.539999999</v>
      </c>
      <c r="AC61" s="24">
        <f t="shared" si="16"/>
        <v>29106976.529999997</v>
      </c>
      <c r="AD61" s="24">
        <f t="shared" si="16"/>
        <v>5801999.6500000004</v>
      </c>
      <c r="AE61" s="24">
        <f t="shared" si="16"/>
        <v>37773094.370000005</v>
      </c>
      <c r="AF61" s="24">
        <f t="shared" si="16"/>
        <v>30172318.07</v>
      </c>
      <c r="AG61" s="24">
        <f>SUM(C61:AF61)</f>
        <v>847616924.63000011</v>
      </c>
      <c r="AH61" s="24">
        <f>AG61/30</f>
        <v>28253897.48766667</v>
      </c>
      <c r="AI61" s="24">
        <f>+AI48+AI49+AI52+AI58</f>
        <v>847616924.63000011</v>
      </c>
    </row>
    <row r="62" spans="1:35" ht="15.75">
      <c r="A62" s="58">
        <v>56</v>
      </c>
      <c r="B62" s="5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</row>
    <row r="63" spans="1:35" ht="19.5">
      <c r="A63" s="58">
        <v>57</v>
      </c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</row>
    <row r="64" spans="1:35" ht="16.5">
      <c r="A64" s="58">
        <v>58</v>
      </c>
      <c r="B64" s="54" t="s">
        <v>34</v>
      </c>
      <c r="C64" s="28">
        <v>9605228.2000000011</v>
      </c>
      <c r="D64" s="28">
        <v>10085745.649999948</v>
      </c>
      <c r="E64" s="28">
        <v>8423809.5400000252</v>
      </c>
      <c r="F64" s="28">
        <v>9321473.5300000235</v>
      </c>
      <c r="G64" s="28">
        <v>9653289.3800000083</v>
      </c>
      <c r="H64" s="28">
        <v>7605287.2700000033</v>
      </c>
      <c r="I64" s="28">
        <v>2230467.1899999962</v>
      </c>
      <c r="J64" s="28">
        <v>8937253.0500000287</v>
      </c>
      <c r="K64" s="28">
        <v>8534270.0500000156</v>
      </c>
      <c r="L64" s="28">
        <v>9188686.1500000209</v>
      </c>
      <c r="M64" s="28">
        <v>10817888.639999948</v>
      </c>
      <c r="N64" s="28">
        <v>9854986.1400000192</v>
      </c>
      <c r="O64" s="38">
        <v>11481580.690000001</v>
      </c>
      <c r="P64" s="38">
        <v>2814865.62</v>
      </c>
      <c r="Q64" s="28">
        <v>9944247.8499999978</v>
      </c>
      <c r="R64" s="28">
        <v>10606404.639999976</v>
      </c>
      <c r="S64" s="28">
        <v>10663520.609999979</v>
      </c>
      <c r="T64" s="28">
        <v>9656768.2699999921</v>
      </c>
      <c r="U64" s="28">
        <v>10663534.429999974</v>
      </c>
      <c r="V64" s="28">
        <v>7565875.8599999929</v>
      </c>
      <c r="W64" s="28">
        <v>2946469.0799999991</v>
      </c>
      <c r="X64" s="28">
        <v>8055439.9499999993</v>
      </c>
      <c r="Y64" s="28">
        <v>9251999.4899999816</v>
      </c>
      <c r="Z64" s="28">
        <v>10148822.829999967</v>
      </c>
      <c r="AA64" s="28">
        <v>8395356.5599999763</v>
      </c>
      <c r="AB64" s="28">
        <v>9173196.0199999958</v>
      </c>
      <c r="AC64" s="28">
        <v>8413562.5999999829</v>
      </c>
      <c r="AD64" s="28">
        <v>3048120.2800000031</v>
      </c>
      <c r="AE64" s="28">
        <v>7840387.6299999924</v>
      </c>
      <c r="AF64" s="28">
        <v>9500933.7199999876</v>
      </c>
      <c r="AG64" s="28">
        <f>SUM(C64:AF64)</f>
        <v>254429470.91999987</v>
      </c>
      <c r="AH64" s="28">
        <f>AG64/30</f>
        <v>8480982.3639999963</v>
      </c>
      <c r="AI64" s="28">
        <f>+AH64*30</f>
        <v>254429470.9199999</v>
      </c>
    </row>
    <row r="65" spans="1:35" ht="16.5">
      <c r="A65" s="58">
        <v>59</v>
      </c>
      <c r="B65" s="48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 spans="1:35" ht="15.75">
      <c r="A66" s="58">
        <v>60</v>
      </c>
      <c r="B66" s="52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</row>
    <row r="67" spans="1:35" ht="16.5">
      <c r="A67" s="58">
        <v>61</v>
      </c>
      <c r="B67" s="51" t="s">
        <v>35</v>
      </c>
      <c r="C67" s="24">
        <f>+C61-C64</f>
        <v>30935160.579999991</v>
      </c>
      <c r="D67" s="24">
        <f t="shared" ref="D67:AF67" si="17">+D61-D64</f>
        <v>16709861.090000058</v>
      </c>
      <c r="E67" s="24">
        <f t="shared" si="17"/>
        <v>22028082.569999974</v>
      </c>
      <c r="F67" s="24">
        <f t="shared" si="17"/>
        <v>21658221.859999977</v>
      </c>
      <c r="G67" s="24">
        <f t="shared" si="17"/>
        <v>18373874.349999994</v>
      </c>
      <c r="H67" s="24">
        <f t="shared" si="17"/>
        <v>21412022.889999997</v>
      </c>
      <c r="I67" s="24">
        <f t="shared" si="17"/>
        <v>2480264.4000000046</v>
      </c>
      <c r="J67" s="24">
        <f t="shared" si="17"/>
        <v>34607316.709999971</v>
      </c>
      <c r="K67" s="24">
        <f t="shared" si="17"/>
        <v>20651039.559999987</v>
      </c>
      <c r="L67" s="24">
        <f t="shared" si="17"/>
        <v>15902812.429999974</v>
      </c>
      <c r="M67" s="24">
        <f t="shared" si="17"/>
        <v>20368574.290000055</v>
      </c>
      <c r="N67" s="24">
        <f t="shared" si="17"/>
        <v>18031948.919999976</v>
      </c>
      <c r="O67" s="24">
        <f t="shared" si="17"/>
        <v>15066952.989999998</v>
      </c>
      <c r="P67" s="24">
        <f t="shared" si="17"/>
        <v>3215087.790000001</v>
      </c>
      <c r="Q67" s="24">
        <f t="shared" si="17"/>
        <v>33313502.620000008</v>
      </c>
      <c r="R67" s="24">
        <f t="shared" si="17"/>
        <v>22949176.830000021</v>
      </c>
      <c r="S67" s="24">
        <f t="shared" si="17"/>
        <v>22945326.07000003</v>
      </c>
      <c r="T67" s="24">
        <f t="shared" si="17"/>
        <v>18046409.330000009</v>
      </c>
      <c r="U67" s="24">
        <f t="shared" si="17"/>
        <v>18669464.870000027</v>
      </c>
      <c r="V67" s="24">
        <f t="shared" si="17"/>
        <v>24453107.540000007</v>
      </c>
      <c r="W67" s="24">
        <f t="shared" si="17"/>
        <v>8518483.2600000016</v>
      </c>
      <c r="X67" s="24">
        <f t="shared" si="17"/>
        <v>25719177.169999998</v>
      </c>
      <c r="Y67" s="24">
        <f t="shared" si="17"/>
        <v>18724043.830000021</v>
      </c>
      <c r="Z67" s="24">
        <f t="shared" si="17"/>
        <v>19167347.570000038</v>
      </c>
      <c r="AA67" s="24">
        <f t="shared" si="17"/>
        <v>24170709.280000024</v>
      </c>
      <c r="AB67" s="24">
        <f t="shared" si="17"/>
        <v>21018100.520000003</v>
      </c>
      <c r="AC67" s="24">
        <f t="shared" si="17"/>
        <v>20693413.930000015</v>
      </c>
      <c r="AD67" s="24">
        <f t="shared" si="17"/>
        <v>2753879.3699999973</v>
      </c>
      <c r="AE67" s="24">
        <f t="shared" si="17"/>
        <v>29932706.740000013</v>
      </c>
      <c r="AF67" s="24">
        <f t="shared" si="17"/>
        <v>20671384.350000013</v>
      </c>
      <c r="AG67" s="24">
        <f>SUM(C67:AF67)</f>
        <v>593187453.71000028</v>
      </c>
      <c r="AH67" s="24">
        <f>AG67/30</f>
        <v>19772915.123666678</v>
      </c>
      <c r="AI67" s="24">
        <f>+AI61-AI64</f>
        <v>593187453.71000028</v>
      </c>
    </row>
    <row r="68" spans="1:35" ht="15.75">
      <c r="A68" s="58">
        <v>62</v>
      </c>
      <c r="B68" s="52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</row>
    <row r="69" spans="1:35" ht="15.75">
      <c r="A69" s="58">
        <v>63</v>
      </c>
      <c r="B69" s="52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</row>
    <row r="70" spans="1:35" ht="16.5">
      <c r="A70" s="58">
        <v>64</v>
      </c>
      <c r="B70" s="48" t="s">
        <v>36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</row>
    <row r="71" spans="1:35" ht="15.75">
      <c r="A71" s="58">
        <v>65</v>
      </c>
      <c r="B71" s="49" t="s">
        <v>37</v>
      </c>
      <c r="C71" s="17">
        <v>5346639</v>
      </c>
      <c r="D71" s="17">
        <v>4710248</v>
      </c>
      <c r="E71" s="17">
        <v>7729081.9999999925</v>
      </c>
      <c r="F71" s="17">
        <v>6428551.0000000037</v>
      </c>
      <c r="G71" s="17">
        <v>5070672</v>
      </c>
      <c r="H71" s="17">
        <v>4553037</v>
      </c>
      <c r="I71" s="17">
        <v>2342842</v>
      </c>
      <c r="J71" s="17">
        <v>7776592</v>
      </c>
      <c r="K71" s="17">
        <v>6736168</v>
      </c>
      <c r="L71" s="17">
        <v>6455224.9999999963</v>
      </c>
      <c r="M71" s="17">
        <v>7088466</v>
      </c>
      <c r="N71" s="17">
        <v>5937672.9999999888</v>
      </c>
      <c r="O71" s="17">
        <v>4775523.9999999963</v>
      </c>
      <c r="P71" s="17">
        <v>5363895</v>
      </c>
      <c r="Q71" s="17">
        <v>8301587</v>
      </c>
      <c r="R71" s="17">
        <v>7390857</v>
      </c>
      <c r="S71" s="17">
        <v>6644862</v>
      </c>
      <c r="T71" s="17">
        <v>5780958</v>
      </c>
      <c r="U71" s="17">
        <v>5217723.0010999739</v>
      </c>
      <c r="V71" s="17">
        <v>5028359.0009999946</v>
      </c>
      <c r="W71" s="17">
        <v>2676794</v>
      </c>
      <c r="X71" s="17">
        <v>7982042.0000000149</v>
      </c>
      <c r="Y71" s="17">
        <v>7702419.0000000075</v>
      </c>
      <c r="Z71" s="17">
        <v>6355006.0000000075</v>
      </c>
      <c r="AA71" s="17">
        <v>5633300</v>
      </c>
      <c r="AB71" s="17">
        <v>4883670</v>
      </c>
      <c r="AC71" s="17">
        <v>1421500</v>
      </c>
      <c r="AD71" s="17">
        <v>4880887</v>
      </c>
      <c r="AE71" s="17">
        <v>8571288</v>
      </c>
      <c r="AF71" s="17">
        <v>4848472.9999999776</v>
      </c>
      <c r="AG71" s="17">
        <f t="shared" ref="AG71:AG77" si="18">SUM(C71:AF71)</f>
        <v>173634339.00209996</v>
      </c>
      <c r="AH71" s="17">
        <f t="shared" ref="AH71:AH77" si="19">AG71/30</f>
        <v>5787811.3000699989</v>
      </c>
      <c r="AI71" s="17">
        <f t="shared" ref="AI71:AI76" si="20">+AH71*30</f>
        <v>173634339.00209996</v>
      </c>
    </row>
    <row r="72" spans="1:35" ht="15.75">
      <c r="A72" s="58">
        <v>66</v>
      </c>
      <c r="B72" s="49" t="s">
        <v>69</v>
      </c>
      <c r="C72" s="17">
        <v>14521802</v>
      </c>
      <c r="D72" s="17">
        <f>11012418+357855</f>
        <v>11370273</v>
      </c>
      <c r="E72" s="17">
        <f>12888974+461499</f>
        <v>13350473</v>
      </c>
      <c r="F72" s="17">
        <v>11473917</v>
      </c>
      <c r="G72" s="17">
        <v>11679954</v>
      </c>
      <c r="H72" s="17">
        <v>9194165</v>
      </c>
      <c r="I72" s="17">
        <v>2893888</v>
      </c>
      <c r="J72" s="17">
        <v>16015087</v>
      </c>
      <c r="K72" s="17">
        <v>13336854</v>
      </c>
      <c r="L72" s="17">
        <v>12475732</v>
      </c>
      <c r="M72" s="17">
        <v>13115988</v>
      </c>
      <c r="N72" s="17">
        <v>10977398</v>
      </c>
      <c r="O72" s="17">
        <v>10422670</v>
      </c>
      <c r="P72" s="17">
        <v>4903215</v>
      </c>
      <c r="Q72" s="17">
        <v>14342617</v>
      </c>
      <c r="R72" s="17">
        <v>13250480</v>
      </c>
      <c r="S72" s="17">
        <v>11976225</v>
      </c>
      <c r="T72" s="17">
        <v>15865628</v>
      </c>
      <c r="U72" s="17">
        <v>11877982</v>
      </c>
      <c r="V72" s="17">
        <v>8522238</v>
      </c>
      <c r="W72" s="17">
        <v>3911139</v>
      </c>
      <c r="X72" s="17">
        <v>14715072</v>
      </c>
      <c r="Y72" s="17">
        <v>10137226</v>
      </c>
      <c r="Z72" s="17">
        <v>9675672</v>
      </c>
      <c r="AA72" s="17">
        <v>9900077</v>
      </c>
      <c r="AB72" s="17">
        <v>8609868</v>
      </c>
      <c r="AC72" s="17">
        <v>5403507</v>
      </c>
      <c r="AD72" s="17">
        <v>4395862</v>
      </c>
      <c r="AE72" s="17">
        <v>10685926</v>
      </c>
      <c r="AF72" s="17">
        <v>13810687</v>
      </c>
      <c r="AG72" s="17">
        <f t="shared" si="18"/>
        <v>322811622</v>
      </c>
      <c r="AH72" s="17">
        <f t="shared" si="19"/>
        <v>10760387.4</v>
      </c>
      <c r="AI72" s="17">
        <f t="shared" si="20"/>
        <v>322811622</v>
      </c>
    </row>
    <row r="73" spans="1:35" ht="15.75">
      <c r="A73" s="58">
        <v>67</v>
      </c>
      <c r="B73" s="49" t="s">
        <v>39</v>
      </c>
      <c r="C73" s="17">
        <f>8023126.9+47090</f>
        <v>8070216.9000000004</v>
      </c>
      <c r="D73" s="17">
        <f>5373540+19700</f>
        <v>5393240</v>
      </c>
      <c r="E73" s="17">
        <f>12434518.36+33000</f>
        <v>12467518.359999999</v>
      </c>
      <c r="F73" s="17">
        <f>+'[1]bank 1304'!G2825+'[1]bank 670'!F54</f>
        <v>6789903.7000000002</v>
      </c>
      <c r="G73" s="17">
        <f>+'[1]bank 1304'!G2926+'[1]bank 670'!F56</f>
        <v>13170240.300000003</v>
      </c>
      <c r="H73" s="17">
        <f>+'[1]bank 1304'!G2991+'[1]bank 670'!F60</f>
        <v>6512329.7000000002</v>
      </c>
      <c r="I73" s="17">
        <f>+'[1]bank 1304'!G3002</f>
        <v>122483.9</v>
      </c>
      <c r="J73" s="17">
        <f>+'[1]bank 1304'!G3114+'[1]bank 670'!F62</f>
        <v>13828502.239999998</v>
      </c>
      <c r="K73" s="17">
        <f>+'[1]bank 1304'!G3221+'[1]bank 670'!F64</f>
        <v>12980522.300000003</v>
      </c>
      <c r="L73" s="17">
        <f>+'[1]bank 1304'!G3352+'[1]bank 670'!F66</f>
        <v>16605883.300000003</v>
      </c>
      <c r="M73" s="17">
        <f>11463912.3+42900</f>
        <v>11506812.300000001</v>
      </c>
      <c r="N73" s="39">
        <f>17580786.5+28910</f>
        <v>17609696.5</v>
      </c>
      <c r="O73" s="39">
        <v>2876238.27</v>
      </c>
      <c r="P73" s="39">
        <f>1374198.9+125230</f>
        <v>1499428.9</v>
      </c>
      <c r="Q73" s="17">
        <v>112929224.05999997</v>
      </c>
      <c r="R73" s="17">
        <v>83242237.709999993</v>
      </c>
      <c r="S73" s="17">
        <v>15967975.9</v>
      </c>
      <c r="T73" s="17">
        <v>9625633.9999999981</v>
      </c>
      <c r="U73" s="17">
        <v>16109459.199999999</v>
      </c>
      <c r="V73" s="17">
        <v>7186177.1900000004</v>
      </c>
      <c r="W73" s="17">
        <v>493133</v>
      </c>
      <c r="X73" s="17">
        <v>14504535.999999998</v>
      </c>
      <c r="Y73" s="17">
        <v>16658621.540000001</v>
      </c>
      <c r="Z73" s="17">
        <v>14277802.619999994</v>
      </c>
      <c r="AA73" s="17">
        <v>10283731.700000001</v>
      </c>
      <c r="AB73" s="17">
        <v>8324597</v>
      </c>
      <c r="AC73" s="17">
        <v>2668526.1399999997</v>
      </c>
      <c r="AD73" s="17">
        <v>900869.7</v>
      </c>
      <c r="AE73" s="17">
        <v>111214929.37</v>
      </c>
      <c r="AF73" s="17">
        <v>9429052</v>
      </c>
      <c r="AG73" s="17">
        <f t="shared" si="18"/>
        <v>563249523.79999995</v>
      </c>
      <c r="AH73" s="17">
        <f t="shared" si="19"/>
        <v>18774984.126666665</v>
      </c>
      <c r="AI73" s="17">
        <f t="shared" si="20"/>
        <v>563249523.79999995</v>
      </c>
    </row>
    <row r="74" spans="1:35" ht="15.75">
      <c r="A74" s="58">
        <v>68</v>
      </c>
      <c r="B74" s="49" t="s">
        <v>40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17896</v>
      </c>
      <c r="AF74" s="17">
        <v>11996934</v>
      </c>
      <c r="AG74" s="17">
        <f t="shared" si="18"/>
        <v>12014830</v>
      </c>
      <c r="AH74" s="17">
        <f t="shared" si="19"/>
        <v>400494.33333333331</v>
      </c>
      <c r="AI74" s="17">
        <f t="shared" si="20"/>
        <v>12014830</v>
      </c>
    </row>
    <row r="75" spans="1:35" ht="15.75">
      <c r="A75" s="58">
        <v>69</v>
      </c>
      <c r="B75" s="55" t="s">
        <v>41</v>
      </c>
      <c r="C75" s="17">
        <f>54789+212438</f>
        <v>267227</v>
      </c>
      <c r="D75" s="17">
        <f>125112+246017</f>
        <v>371129</v>
      </c>
      <c r="E75" s="17">
        <v>330930</v>
      </c>
      <c r="F75" s="17">
        <v>246984</v>
      </c>
      <c r="G75" s="17">
        <v>228088</v>
      </c>
      <c r="H75" s="17">
        <v>176520</v>
      </c>
      <c r="I75" s="17">
        <v>13415</v>
      </c>
      <c r="J75" s="17">
        <v>267140</v>
      </c>
      <c r="K75" s="17">
        <v>235632</v>
      </c>
      <c r="L75" s="17">
        <v>222388</v>
      </c>
      <c r="M75" s="39">
        <v>189446</v>
      </c>
      <c r="N75" s="39">
        <v>251236</v>
      </c>
      <c r="O75" s="17">
        <v>270038</v>
      </c>
      <c r="P75" s="17">
        <v>53623</v>
      </c>
      <c r="Q75" s="17">
        <v>223327</v>
      </c>
      <c r="R75" s="17">
        <v>213370</v>
      </c>
      <c r="S75" s="17">
        <v>250670</v>
      </c>
      <c r="T75" s="17">
        <v>297488</v>
      </c>
      <c r="U75" s="17">
        <v>185883</v>
      </c>
      <c r="V75" s="17">
        <v>272381</v>
      </c>
      <c r="W75" s="17">
        <v>32249</v>
      </c>
      <c r="X75" s="17">
        <v>240754</v>
      </c>
      <c r="Y75" s="17">
        <v>285759</v>
      </c>
      <c r="Z75" s="17">
        <v>288419</v>
      </c>
      <c r="AA75" s="17">
        <v>239132</v>
      </c>
      <c r="AB75" s="17">
        <v>190835</v>
      </c>
      <c r="AC75" s="17">
        <v>224131</v>
      </c>
      <c r="AD75" s="17">
        <v>23076</v>
      </c>
      <c r="AE75" s="17">
        <v>305915</v>
      </c>
      <c r="AF75" s="17">
        <v>289763</v>
      </c>
      <c r="AG75" s="17">
        <f t="shared" si="18"/>
        <v>6686948</v>
      </c>
      <c r="AH75" s="17">
        <f t="shared" si="19"/>
        <v>222898.26666666666</v>
      </c>
      <c r="AI75" s="17">
        <f t="shared" si="20"/>
        <v>6686948</v>
      </c>
    </row>
    <row r="76" spans="1:35" ht="15.75">
      <c r="A76" s="58">
        <v>70</v>
      </c>
      <c r="B76" s="55" t="s">
        <v>42</v>
      </c>
      <c r="C76" s="17">
        <f>3783681-212438</f>
        <v>3571243</v>
      </c>
      <c r="D76" s="17">
        <f>2662263-246017</f>
        <v>2416246</v>
      </c>
      <c r="E76" s="17">
        <v>327973</v>
      </c>
      <c r="F76" s="17">
        <v>2588718</v>
      </c>
      <c r="G76" s="17">
        <v>3861693</v>
      </c>
      <c r="H76" s="17">
        <v>2238677</v>
      </c>
      <c r="I76" s="17">
        <v>0</v>
      </c>
      <c r="J76" s="17">
        <v>1564608</v>
      </c>
      <c r="K76" s="17">
        <v>3248273</v>
      </c>
      <c r="L76" s="17">
        <v>1925785</v>
      </c>
      <c r="M76" s="17">
        <v>1361</v>
      </c>
      <c r="N76" s="17">
        <v>1952811</v>
      </c>
      <c r="O76" s="17">
        <v>909623</v>
      </c>
      <c r="P76" s="17">
        <v>500</v>
      </c>
      <c r="Q76" s="17">
        <v>1338895</v>
      </c>
      <c r="R76" s="17">
        <v>1403487</v>
      </c>
      <c r="S76" s="17">
        <v>3093975</v>
      </c>
      <c r="T76" s="17">
        <v>2629251</v>
      </c>
      <c r="U76" s="17">
        <v>2079023</v>
      </c>
      <c r="V76" s="17">
        <v>0</v>
      </c>
      <c r="W76" s="17">
        <v>0</v>
      </c>
      <c r="X76" s="17">
        <v>3291585</v>
      </c>
      <c r="Y76" s="17">
        <v>1276387</v>
      </c>
      <c r="Z76" s="17">
        <v>1752604</v>
      </c>
      <c r="AA76" s="17">
        <v>2077598</v>
      </c>
      <c r="AB76" s="17">
        <v>800</v>
      </c>
      <c r="AC76" s="17">
        <v>1209102</v>
      </c>
      <c r="AD76" s="17">
        <v>0</v>
      </c>
      <c r="AE76" s="17">
        <v>1618354</v>
      </c>
      <c r="AF76" s="17">
        <v>1883087</v>
      </c>
      <c r="AG76" s="17">
        <f t="shared" si="18"/>
        <v>48261659</v>
      </c>
      <c r="AH76" s="17">
        <f t="shared" si="19"/>
        <v>1608721.9666666666</v>
      </c>
      <c r="AI76" s="17">
        <f t="shared" si="20"/>
        <v>48261659</v>
      </c>
    </row>
    <row r="77" spans="1:35" ht="17.25" thickBot="1">
      <c r="A77" s="58">
        <v>71</v>
      </c>
      <c r="B77" s="56" t="s">
        <v>43</v>
      </c>
      <c r="C77" s="24">
        <f>+C71+C72+C73+C74-C75-C76</f>
        <v>24100187.899999999</v>
      </c>
      <c r="D77" s="24">
        <f>+D71+D72+D73+D74-D75-D76</f>
        <v>18686386</v>
      </c>
      <c r="E77" s="24">
        <f>+E71+E72+E73+E74-E75-E76</f>
        <v>32888170.359999992</v>
      </c>
      <c r="F77" s="24">
        <f>+F71+F72+F73+F74-F75-F76</f>
        <v>21856669.700000003</v>
      </c>
      <c r="G77" s="24">
        <f>+G71+G72+G73+G74-G75-G76</f>
        <v>25831085.300000004</v>
      </c>
      <c r="H77" s="24">
        <f t="shared" ref="H77:AF77" si="21">+H71+H72+H73+H74-H75-H76</f>
        <v>17844334.699999999</v>
      </c>
      <c r="I77" s="24">
        <f t="shared" si="21"/>
        <v>5345798.9000000004</v>
      </c>
      <c r="J77" s="24">
        <f t="shared" si="21"/>
        <v>35788433.239999995</v>
      </c>
      <c r="K77" s="24">
        <f t="shared" si="21"/>
        <v>29569639.300000004</v>
      </c>
      <c r="L77" s="24">
        <f t="shared" si="21"/>
        <v>33388667.299999997</v>
      </c>
      <c r="M77" s="24">
        <f t="shared" si="21"/>
        <v>31520459.300000001</v>
      </c>
      <c r="N77" s="24">
        <f t="shared" si="21"/>
        <v>32320720.499999985</v>
      </c>
      <c r="O77" s="24">
        <f t="shared" si="21"/>
        <v>16894771.269999996</v>
      </c>
      <c r="P77" s="24">
        <f t="shared" si="21"/>
        <v>11712415.9</v>
      </c>
      <c r="Q77" s="24">
        <f t="shared" si="21"/>
        <v>134011206.05999997</v>
      </c>
      <c r="R77" s="24">
        <f t="shared" si="21"/>
        <v>102266717.70999999</v>
      </c>
      <c r="S77" s="24">
        <f t="shared" si="21"/>
        <v>31244417.899999999</v>
      </c>
      <c r="T77" s="24">
        <f t="shared" si="21"/>
        <v>28345481</v>
      </c>
      <c r="U77" s="24">
        <f t="shared" si="21"/>
        <v>30940258.201099973</v>
      </c>
      <c r="V77" s="24">
        <f t="shared" si="21"/>
        <v>20464393.190999996</v>
      </c>
      <c r="W77" s="24">
        <f t="shared" si="21"/>
        <v>7048817</v>
      </c>
      <c r="X77" s="24">
        <f t="shared" si="21"/>
        <v>33669311.000000015</v>
      </c>
      <c r="Y77" s="24">
        <f t="shared" si="21"/>
        <v>32936120.540000007</v>
      </c>
      <c r="Z77" s="24">
        <f t="shared" si="21"/>
        <v>28267457.620000001</v>
      </c>
      <c r="AA77" s="24">
        <f t="shared" si="21"/>
        <v>23500378.700000003</v>
      </c>
      <c r="AB77" s="24">
        <f t="shared" si="21"/>
        <v>21626500</v>
      </c>
      <c r="AC77" s="24">
        <f t="shared" si="21"/>
        <v>8060300.1400000006</v>
      </c>
      <c r="AD77" s="24">
        <f t="shared" si="21"/>
        <v>10154542.699999999</v>
      </c>
      <c r="AE77" s="24">
        <f t="shared" si="21"/>
        <v>128565770.37</v>
      </c>
      <c r="AF77" s="24">
        <f t="shared" si="21"/>
        <v>37912295.999999978</v>
      </c>
      <c r="AG77" s="24">
        <f t="shared" si="18"/>
        <v>1016761707.8020999</v>
      </c>
      <c r="AH77" s="24">
        <f t="shared" si="19"/>
        <v>33892056.926736668</v>
      </c>
      <c r="AI77" s="24">
        <f>+AI71+AI72+AI73+AI74-AI75-AI76</f>
        <v>1016761707.8020999</v>
      </c>
    </row>
    <row r="80" spans="1:35">
      <c r="F80" s="3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0"/>
  <sheetViews>
    <sheetView topLeftCell="A42" workbookViewId="0">
      <selection activeCell="J5" sqref="J5:J77"/>
    </sheetView>
  </sheetViews>
  <sheetFormatPr defaultRowHeight="14.25"/>
  <cols>
    <col min="2" max="2" width="45.625" bestFit="1" customWidth="1"/>
    <col min="3" max="13" width="13.875" customWidth="1"/>
    <col min="14" max="14" width="17.75" customWidth="1"/>
    <col min="15" max="15" width="15.125" customWidth="1"/>
    <col min="16" max="16" width="11.875" bestFit="1" customWidth="1"/>
  </cols>
  <sheetData>
    <row r="3" spans="1:14" ht="20.25">
      <c r="B3" s="40" t="s">
        <v>0</v>
      </c>
    </row>
    <row r="4" spans="1:14" ht="21" thickBot="1">
      <c r="B4" s="41" t="s">
        <v>86</v>
      </c>
    </row>
    <row r="5" spans="1:14" ht="60.75" customHeight="1" thickBot="1">
      <c r="A5" s="59" t="s">
        <v>72</v>
      </c>
      <c r="B5" s="42" t="s">
        <v>1</v>
      </c>
      <c r="C5" s="4" t="s">
        <v>87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96</v>
      </c>
      <c r="I5" s="4" t="s">
        <v>97</v>
      </c>
      <c r="J5" s="4" t="s">
        <v>99</v>
      </c>
      <c r="K5" s="4" t="s">
        <v>88</v>
      </c>
      <c r="L5" s="4" t="s">
        <v>89</v>
      </c>
      <c r="M5" s="4" t="s">
        <v>90</v>
      </c>
    </row>
    <row r="6" spans="1:14" ht="15.75">
      <c r="A6" s="57"/>
      <c r="B6" s="43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4" ht="16.5">
      <c r="A7" s="58">
        <v>1</v>
      </c>
      <c r="B7" s="44" t="s">
        <v>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4" ht="15.75">
      <c r="A8" s="58">
        <v>2</v>
      </c>
      <c r="B8" s="45" t="s">
        <v>3</v>
      </c>
      <c r="C8" s="8">
        <v>1000</v>
      </c>
      <c r="D8" s="8">
        <v>1000</v>
      </c>
      <c r="E8" s="8">
        <v>1000</v>
      </c>
      <c r="F8" s="8">
        <v>1000</v>
      </c>
      <c r="G8" s="8">
        <v>1000</v>
      </c>
      <c r="H8" s="8">
        <v>1000</v>
      </c>
      <c r="I8" s="8">
        <v>1000</v>
      </c>
      <c r="J8" s="8">
        <v>1000</v>
      </c>
      <c r="K8" s="8">
        <f>SUM(C8:I8)</f>
        <v>7000</v>
      </c>
      <c r="L8" s="8">
        <f>K8/7</f>
        <v>1000</v>
      </c>
      <c r="M8" s="8">
        <f>+L8</f>
        <v>1000</v>
      </c>
    </row>
    <row r="9" spans="1:14" ht="15.75">
      <c r="A9" s="58">
        <v>3</v>
      </c>
      <c r="B9" s="45" t="s">
        <v>4</v>
      </c>
      <c r="C9" s="8">
        <v>964</v>
      </c>
      <c r="D9" s="8">
        <v>957</v>
      </c>
      <c r="E9" s="8">
        <v>950</v>
      </c>
      <c r="F9" s="8">
        <v>863</v>
      </c>
      <c r="G9" s="8">
        <v>880</v>
      </c>
      <c r="H9" s="8">
        <v>949</v>
      </c>
      <c r="I9" s="8">
        <v>994</v>
      </c>
      <c r="J9" s="8">
        <v>969</v>
      </c>
      <c r="K9" s="8">
        <f>SUM(C9:J9)</f>
        <v>7526</v>
      </c>
      <c r="L9" s="33">
        <f>K9/7</f>
        <v>1075.1428571428571</v>
      </c>
      <c r="M9" s="33">
        <f>+L9</f>
        <v>1075.1428571428571</v>
      </c>
    </row>
    <row r="10" spans="1:14" ht="16.5">
      <c r="A10" s="58">
        <v>4</v>
      </c>
      <c r="B10" s="46" t="s">
        <v>5</v>
      </c>
      <c r="C10" s="11">
        <f t="shared" ref="C10:M10" si="0">+C9/C8</f>
        <v>0.96399999999999997</v>
      </c>
      <c r="D10" s="11">
        <f t="shared" si="0"/>
        <v>0.95699999999999996</v>
      </c>
      <c r="E10" s="11">
        <f t="shared" si="0"/>
        <v>0.95</v>
      </c>
      <c r="F10" s="11">
        <f t="shared" si="0"/>
        <v>0.86299999999999999</v>
      </c>
      <c r="G10" s="11">
        <f t="shared" si="0"/>
        <v>0.88</v>
      </c>
      <c r="H10" s="11">
        <f t="shared" si="0"/>
        <v>0.94899999999999995</v>
      </c>
      <c r="I10" s="11">
        <f t="shared" si="0"/>
        <v>0.99399999999999999</v>
      </c>
      <c r="J10" s="11">
        <f t="shared" si="0"/>
        <v>0.96899999999999997</v>
      </c>
      <c r="K10" s="11">
        <f>+K9/K8</f>
        <v>1.0751428571428572</v>
      </c>
      <c r="L10" s="11">
        <f t="shared" si="0"/>
        <v>1.0751428571428572</v>
      </c>
      <c r="M10" s="11">
        <f t="shared" si="0"/>
        <v>1.0751428571428572</v>
      </c>
    </row>
    <row r="11" spans="1:14" ht="15.75">
      <c r="A11" s="58">
        <v>5</v>
      </c>
      <c r="B11" s="47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4" ht="16.5">
      <c r="A12" s="58">
        <v>6</v>
      </c>
      <c r="B12" s="48" t="s">
        <v>6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spans="1:14" ht="15.75">
      <c r="A13" s="58">
        <v>7</v>
      </c>
      <c r="B13" s="45" t="s">
        <v>7</v>
      </c>
      <c r="C13" s="15">
        <v>427</v>
      </c>
      <c r="D13" s="15">
        <v>395</v>
      </c>
      <c r="E13" s="15">
        <v>458</v>
      </c>
      <c r="F13" s="15">
        <v>357</v>
      </c>
      <c r="G13" s="15">
        <v>54</v>
      </c>
      <c r="H13" s="15">
        <v>574</v>
      </c>
      <c r="I13" s="15">
        <v>465</v>
      </c>
      <c r="J13" s="15">
        <v>46</v>
      </c>
      <c r="K13" s="15">
        <f>SUM(C13:J13)</f>
        <v>2776</v>
      </c>
      <c r="L13" s="15">
        <f t="shared" ref="L13:L31" si="1">K13/7</f>
        <v>396.57142857142856</v>
      </c>
      <c r="M13" s="15">
        <f>+L13*30</f>
        <v>11897.142857142857</v>
      </c>
    </row>
    <row r="14" spans="1:14" ht="15.75">
      <c r="A14" s="58">
        <v>8</v>
      </c>
      <c r="B14" s="45" t="s">
        <v>8</v>
      </c>
      <c r="C14" s="15">
        <v>3883</v>
      </c>
      <c r="D14" s="15">
        <v>3831</v>
      </c>
      <c r="E14" s="15">
        <v>3997</v>
      </c>
      <c r="F14" s="15">
        <v>3231</v>
      </c>
      <c r="G14" s="15">
        <v>130</v>
      </c>
      <c r="H14" s="15">
        <v>4497</v>
      </c>
      <c r="I14" s="15">
        <v>4020</v>
      </c>
      <c r="J14" s="15">
        <v>123</v>
      </c>
      <c r="K14" s="15">
        <f>SUM(C14:J14)</f>
        <v>23712</v>
      </c>
      <c r="L14" s="15">
        <f t="shared" si="1"/>
        <v>3387.4285714285716</v>
      </c>
      <c r="M14" s="15">
        <f>+L14*30</f>
        <v>101622.85714285714</v>
      </c>
      <c r="N14" s="36"/>
    </row>
    <row r="15" spans="1:14" ht="15.75">
      <c r="A15" s="58">
        <v>9</v>
      </c>
      <c r="B15" s="45" t="s">
        <v>9</v>
      </c>
      <c r="C15" s="15">
        <f t="shared" ref="C15:J15" si="2">C16+C17+C18+C19+C20</f>
        <v>293</v>
      </c>
      <c r="D15" s="15">
        <f t="shared" si="2"/>
        <v>313</v>
      </c>
      <c r="E15" s="15">
        <f t="shared" si="2"/>
        <v>306</v>
      </c>
      <c r="F15" s="15">
        <f t="shared" si="2"/>
        <v>226</v>
      </c>
      <c r="G15" s="15">
        <f t="shared" si="2"/>
        <v>108</v>
      </c>
      <c r="H15" s="15">
        <f t="shared" si="2"/>
        <v>351</v>
      </c>
      <c r="I15" s="15">
        <f t="shared" si="2"/>
        <v>336</v>
      </c>
      <c r="J15" s="15">
        <f t="shared" si="2"/>
        <v>109</v>
      </c>
      <c r="K15" s="15">
        <f t="shared" ref="K13:K20" si="3">SUM(C15:I15)</f>
        <v>1933</v>
      </c>
      <c r="L15" s="15">
        <f t="shared" si="1"/>
        <v>276.14285714285717</v>
      </c>
      <c r="M15" s="15">
        <f>SUM(M16:M20)</f>
        <v>8284.2857142857156</v>
      </c>
      <c r="N15" s="36"/>
    </row>
    <row r="16" spans="1:14" ht="15.75">
      <c r="A16" s="58">
        <v>10</v>
      </c>
      <c r="B16" s="49" t="s">
        <v>10</v>
      </c>
      <c r="C16" s="17">
        <v>226</v>
      </c>
      <c r="D16" s="17">
        <v>236</v>
      </c>
      <c r="E16" s="17">
        <v>226</v>
      </c>
      <c r="F16" s="17">
        <v>193</v>
      </c>
      <c r="G16" s="17">
        <v>78</v>
      </c>
      <c r="H16" s="17">
        <v>254</v>
      </c>
      <c r="I16" s="17">
        <v>241</v>
      </c>
      <c r="J16" s="17">
        <v>70</v>
      </c>
      <c r="K16" s="17">
        <f t="shared" si="3"/>
        <v>1454</v>
      </c>
      <c r="L16" s="17">
        <f t="shared" si="1"/>
        <v>207.71428571428572</v>
      </c>
      <c r="M16" s="17">
        <f>+L16*30</f>
        <v>6231.4285714285716</v>
      </c>
      <c r="N16" s="36"/>
    </row>
    <row r="17" spans="1:14" ht="15.75">
      <c r="A17" s="58">
        <v>11</v>
      </c>
      <c r="B17" s="49" t="s">
        <v>11</v>
      </c>
      <c r="C17" s="17">
        <v>37</v>
      </c>
      <c r="D17" s="17">
        <v>42</v>
      </c>
      <c r="E17" s="17">
        <v>44</v>
      </c>
      <c r="F17" s="17">
        <v>13</v>
      </c>
      <c r="G17" s="17">
        <v>18</v>
      </c>
      <c r="H17" s="17">
        <v>47</v>
      </c>
      <c r="I17" s="17">
        <v>51</v>
      </c>
      <c r="J17" s="17">
        <v>22</v>
      </c>
      <c r="K17" s="17">
        <f t="shared" si="3"/>
        <v>252</v>
      </c>
      <c r="L17" s="17">
        <f t="shared" si="1"/>
        <v>36</v>
      </c>
      <c r="M17" s="17">
        <f>+L17*30</f>
        <v>1080</v>
      </c>
      <c r="N17" s="36"/>
    </row>
    <row r="18" spans="1:14" ht="15.75">
      <c r="A18" s="58">
        <v>12</v>
      </c>
      <c r="B18" s="49" t="s">
        <v>12</v>
      </c>
      <c r="C18" s="17">
        <v>30</v>
      </c>
      <c r="D18" s="17">
        <v>28</v>
      </c>
      <c r="E18" s="17">
        <v>34</v>
      </c>
      <c r="F18" s="17">
        <v>15</v>
      </c>
      <c r="G18" s="17">
        <v>11</v>
      </c>
      <c r="H18" s="17">
        <v>45</v>
      </c>
      <c r="I18" s="17">
        <v>42</v>
      </c>
      <c r="J18" s="17">
        <v>17</v>
      </c>
      <c r="K18" s="17">
        <f t="shared" si="3"/>
        <v>205</v>
      </c>
      <c r="L18" s="17">
        <f t="shared" si="1"/>
        <v>29.285714285714285</v>
      </c>
      <c r="M18" s="17">
        <f>+L18*30</f>
        <v>878.57142857142856</v>
      </c>
      <c r="N18" s="36"/>
    </row>
    <row r="19" spans="1:14" ht="15.75">
      <c r="A19" s="58">
        <v>13</v>
      </c>
      <c r="B19" s="49" t="s">
        <v>13</v>
      </c>
      <c r="C19" s="17">
        <v>0</v>
      </c>
      <c r="D19" s="17">
        <v>1</v>
      </c>
      <c r="E19" s="17">
        <v>0</v>
      </c>
      <c r="F19" s="17">
        <v>0</v>
      </c>
      <c r="G19" s="17">
        <v>0</v>
      </c>
      <c r="H19" s="17">
        <v>1</v>
      </c>
      <c r="I19" s="17">
        <v>0</v>
      </c>
      <c r="J19" s="17">
        <v>0</v>
      </c>
      <c r="K19" s="17">
        <f>SUM(C19:J19)</f>
        <v>2</v>
      </c>
      <c r="L19" s="17">
        <f t="shared" si="1"/>
        <v>0.2857142857142857</v>
      </c>
      <c r="M19" s="17">
        <f>+L19*30</f>
        <v>8.5714285714285712</v>
      </c>
      <c r="N19" s="36"/>
    </row>
    <row r="20" spans="1:14" ht="15.75">
      <c r="A20" s="58">
        <v>14</v>
      </c>
      <c r="B20" s="49" t="s">
        <v>14</v>
      </c>
      <c r="C20" s="17">
        <v>0</v>
      </c>
      <c r="D20" s="17">
        <v>6</v>
      </c>
      <c r="E20" s="17">
        <v>2</v>
      </c>
      <c r="F20" s="17">
        <v>5</v>
      </c>
      <c r="G20" s="17">
        <v>1</v>
      </c>
      <c r="H20" s="17">
        <v>4</v>
      </c>
      <c r="I20" s="17">
        <v>2</v>
      </c>
      <c r="J20" s="17">
        <v>0</v>
      </c>
      <c r="K20" s="17">
        <f>SUM(C20:J20)</f>
        <v>20</v>
      </c>
      <c r="L20" s="17">
        <f t="shared" si="1"/>
        <v>2.8571428571428572</v>
      </c>
      <c r="M20" s="17">
        <f>+L20*30</f>
        <v>85.714285714285722</v>
      </c>
      <c r="N20" s="36"/>
    </row>
    <row r="21" spans="1:14" ht="15.75">
      <c r="A21" s="58">
        <v>15</v>
      </c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36"/>
    </row>
    <row r="22" spans="1:14" ht="15.75">
      <c r="A22" s="58">
        <v>16</v>
      </c>
      <c r="B22" s="18" t="s">
        <v>15</v>
      </c>
      <c r="C22" s="17">
        <v>41</v>
      </c>
      <c r="D22" s="17">
        <v>51</v>
      </c>
      <c r="E22" s="17">
        <v>47</v>
      </c>
      <c r="F22" s="17">
        <v>39</v>
      </c>
      <c r="G22" s="17">
        <v>48</v>
      </c>
      <c r="H22" s="17">
        <v>50</v>
      </c>
      <c r="I22" s="17">
        <v>60</v>
      </c>
      <c r="J22" s="17">
        <v>45</v>
      </c>
      <c r="K22" s="17">
        <f>SUM(C22:I22)</f>
        <v>336</v>
      </c>
      <c r="L22" s="17">
        <f t="shared" si="1"/>
        <v>48</v>
      </c>
      <c r="M22" s="17">
        <f>+L22*30</f>
        <v>1440</v>
      </c>
      <c r="N22" s="36"/>
    </row>
    <row r="23" spans="1:14" ht="15.75">
      <c r="A23" s="58">
        <v>17</v>
      </c>
      <c r="B23" s="18" t="s">
        <v>16</v>
      </c>
      <c r="C23" s="17">
        <v>85</v>
      </c>
      <c r="D23" s="17">
        <v>75</v>
      </c>
      <c r="E23" s="17">
        <v>67</v>
      </c>
      <c r="F23" s="17">
        <v>23</v>
      </c>
      <c r="G23" s="17">
        <v>54</v>
      </c>
      <c r="H23" s="17">
        <v>108</v>
      </c>
      <c r="I23" s="17">
        <v>87</v>
      </c>
      <c r="J23" s="17">
        <v>58</v>
      </c>
      <c r="K23" s="17">
        <f>SUM(C23:I23)</f>
        <v>499</v>
      </c>
      <c r="L23" s="17">
        <f t="shared" si="1"/>
        <v>71.285714285714292</v>
      </c>
      <c r="M23" s="17">
        <f>+L23*30</f>
        <v>2138.5714285714289</v>
      </c>
    </row>
    <row r="24" spans="1:14" ht="15.75">
      <c r="A24" s="58">
        <v>18</v>
      </c>
      <c r="B24" s="18" t="s">
        <v>17</v>
      </c>
      <c r="C24" s="17">
        <v>158</v>
      </c>
      <c r="D24" s="17">
        <v>181</v>
      </c>
      <c r="E24" s="17">
        <v>182</v>
      </c>
      <c r="F24" s="17">
        <v>148</v>
      </c>
      <c r="G24" s="17">
        <v>6</v>
      </c>
      <c r="H24" s="17">
        <v>188</v>
      </c>
      <c r="I24" s="17">
        <v>173</v>
      </c>
      <c r="J24" s="17">
        <v>6</v>
      </c>
      <c r="K24" s="17">
        <f>SUM(C24:I24)</f>
        <v>1036</v>
      </c>
      <c r="L24" s="17">
        <f t="shared" si="1"/>
        <v>148</v>
      </c>
      <c r="M24" s="17">
        <f>+L24*30</f>
        <v>4440</v>
      </c>
      <c r="N24" s="36"/>
    </row>
    <row r="25" spans="1:14" ht="15.75">
      <c r="A25" s="58">
        <v>19</v>
      </c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36"/>
    </row>
    <row r="26" spans="1:14" ht="15.75">
      <c r="A26" s="58">
        <v>20</v>
      </c>
      <c r="B26" s="45" t="s">
        <v>18</v>
      </c>
      <c r="C26" s="15">
        <f t="shared" ref="C26:J26" si="4">C27+C28+C29+C30+C31</f>
        <v>312</v>
      </c>
      <c r="D26" s="15">
        <f t="shared" si="4"/>
        <v>326</v>
      </c>
      <c r="E26" s="15">
        <f t="shared" si="4"/>
        <v>310</v>
      </c>
      <c r="F26" s="15">
        <f t="shared" si="4"/>
        <v>312</v>
      </c>
      <c r="G26" s="15">
        <f t="shared" si="4"/>
        <v>52</v>
      </c>
      <c r="H26" s="15">
        <f t="shared" si="4"/>
        <v>324</v>
      </c>
      <c r="I26" s="15">
        <f t="shared" si="4"/>
        <v>296</v>
      </c>
      <c r="J26" s="15">
        <f t="shared" si="4"/>
        <v>44</v>
      </c>
      <c r="K26" s="15">
        <f t="shared" ref="K26:K31" si="5">SUM(C26:I26)</f>
        <v>1932</v>
      </c>
      <c r="L26" s="15">
        <f t="shared" si="1"/>
        <v>276</v>
      </c>
      <c r="M26" s="15">
        <f>SUM(M27:M31)</f>
        <v>8280</v>
      </c>
      <c r="N26" s="36"/>
    </row>
    <row r="27" spans="1:14" ht="15.75">
      <c r="A27" s="58">
        <v>21</v>
      </c>
      <c r="B27" s="49" t="s">
        <v>10</v>
      </c>
      <c r="C27" s="17">
        <v>231</v>
      </c>
      <c r="D27" s="17">
        <v>240</v>
      </c>
      <c r="E27" s="17">
        <v>233</v>
      </c>
      <c r="F27" s="17">
        <v>222</v>
      </c>
      <c r="G27" s="17">
        <v>48</v>
      </c>
      <c r="H27" s="17">
        <v>240</v>
      </c>
      <c r="I27" s="17">
        <v>229</v>
      </c>
      <c r="J27" s="17">
        <v>42</v>
      </c>
      <c r="K27" s="17">
        <f t="shared" si="5"/>
        <v>1443</v>
      </c>
      <c r="L27" s="17">
        <f t="shared" si="1"/>
        <v>206.14285714285714</v>
      </c>
      <c r="M27" s="17">
        <f>+L27*30</f>
        <v>6184.2857142857138</v>
      </c>
      <c r="N27" s="36"/>
    </row>
    <row r="28" spans="1:14" ht="15.75">
      <c r="A28" s="58">
        <v>22</v>
      </c>
      <c r="B28" s="49" t="s">
        <v>11</v>
      </c>
      <c r="C28" s="17">
        <v>47</v>
      </c>
      <c r="D28" s="17">
        <v>47</v>
      </c>
      <c r="E28" s="17">
        <v>36</v>
      </c>
      <c r="F28" s="17">
        <v>51</v>
      </c>
      <c r="G28" s="17">
        <v>1</v>
      </c>
      <c r="H28" s="17">
        <v>51</v>
      </c>
      <c r="I28" s="17">
        <v>34</v>
      </c>
      <c r="J28" s="17">
        <v>1</v>
      </c>
      <c r="K28" s="17">
        <f t="shared" si="5"/>
        <v>267</v>
      </c>
      <c r="L28" s="17">
        <f t="shared" si="1"/>
        <v>38.142857142857146</v>
      </c>
      <c r="M28" s="17">
        <f>+L28*30</f>
        <v>1144.2857142857144</v>
      </c>
      <c r="N28" s="36"/>
    </row>
    <row r="29" spans="1:14" ht="15.75">
      <c r="A29" s="58">
        <v>23</v>
      </c>
      <c r="B29" s="49" t="s">
        <v>12</v>
      </c>
      <c r="C29" s="17">
        <v>28</v>
      </c>
      <c r="D29" s="17">
        <v>36</v>
      </c>
      <c r="E29" s="17">
        <v>38</v>
      </c>
      <c r="F29" s="17">
        <v>31</v>
      </c>
      <c r="G29" s="17">
        <v>2</v>
      </c>
      <c r="H29" s="17">
        <v>29</v>
      </c>
      <c r="I29" s="17">
        <v>26</v>
      </c>
      <c r="J29" s="17">
        <v>1</v>
      </c>
      <c r="K29" s="17">
        <f t="shared" si="5"/>
        <v>190</v>
      </c>
      <c r="L29" s="17">
        <f t="shared" si="1"/>
        <v>27.142857142857142</v>
      </c>
      <c r="M29" s="17">
        <f>+L29*30</f>
        <v>814.28571428571422</v>
      </c>
      <c r="N29" s="36"/>
    </row>
    <row r="30" spans="1:14" ht="15.75">
      <c r="A30" s="58">
        <v>24</v>
      </c>
      <c r="B30" s="49" t="s">
        <v>13</v>
      </c>
      <c r="C30" s="17">
        <v>0</v>
      </c>
      <c r="D30" s="17">
        <v>2</v>
      </c>
      <c r="E30" s="17">
        <v>0</v>
      </c>
      <c r="F30" s="17">
        <v>1</v>
      </c>
      <c r="G30" s="17">
        <v>0</v>
      </c>
      <c r="H30" s="17">
        <v>0</v>
      </c>
      <c r="I30" s="17">
        <v>0</v>
      </c>
      <c r="J30" s="17">
        <v>0</v>
      </c>
      <c r="K30" s="17">
        <f>SUM(C30:J30)</f>
        <v>3</v>
      </c>
      <c r="L30" s="17">
        <f t="shared" si="1"/>
        <v>0.42857142857142855</v>
      </c>
      <c r="M30" s="17">
        <f>+L30*30</f>
        <v>12.857142857142856</v>
      </c>
      <c r="N30" s="36"/>
    </row>
    <row r="31" spans="1:14" ht="15.75">
      <c r="A31" s="58">
        <v>25</v>
      </c>
      <c r="B31" s="50" t="s">
        <v>19</v>
      </c>
      <c r="C31" s="21">
        <v>6</v>
      </c>
      <c r="D31" s="21">
        <v>1</v>
      </c>
      <c r="E31" s="21">
        <v>3</v>
      </c>
      <c r="F31" s="21">
        <v>7</v>
      </c>
      <c r="G31" s="21">
        <v>1</v>
      </c>
      <c r="H31" s="21">
        <v>4</v>
      </c>
      <c r="I31" s="21">
        <v>7</v>
      </c>
      <c r="J31" s="21">
        <v>0</v>
      </c>
      <c r="K31" s="21">
        <f>SUM(C31:J31)</f>
        <v>29</v>
      </c>
      <c r="L31" s="21">
        <f t="shared" si="1"/>
        <v>4.1428571428571432</v>
      </c>
      <c r="M31" s="21">
        <f>+L31*30</f>
        <v>124.28571428571429</v>
      </c>
      <c r="N31" s="36"/>
    </row>
    <row r="32" spans="1:14" ht="15.75">
      <c r="A32" s="58">
        <v>26</v>
      </c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36"/>
    </row>
    <row r="33" spans="1:14" ht="15.75">
      <c r="A33" s="58">
        <v>27</v>
      </c>
      <c r="B33" s="18" t="s">
        <v>20</v>
      </c>
      <c r="C33" s="17">
        <v>31</v>
      </c>
      <c r="D33" s="17">
        <v>17</v>
      </c>
      <c r="E33" s="17">
        <v>20</v>
      </c>
      <c r="F33" s="17">
        <v>22</v>
      </c>
      <c r="G33" s="17">
        <v>5</v>
      </c>
      <c r="H33" s="17">
        <v>31</v>
      </c>
      <c r="I33" s="17">
        <v>20</v>
      </c>
      <c r="J33" s="17">
        <v>4</v>
      </c>
      <c r="K33" s="17">
        <f>SUM(C33:J33)</f>
        <v>150</v>
      </c>
      <c r="L33" s="17">
        <f>K33/7</f>
        <v>21.428571428571427</v>
      </c>
      <c r="M33" s="17">
        <f>+L33*30</f>
        <v>642.85714285714278</v>
      </c>
      <c r="N33" s="36"/>
    </row>
    <row r="34" spans="1:14" ht="15.75">
      <c r="A34" s="58">
        <v>28</v>
      </c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36"/>
    </row>
    <row r="35" spans="1:14" ht="16.5">
      <c r="A35" s="58">
        <v>29</v>
      </c>
      <c r="B35" s="48" t="s">
        <v>21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4" ht="15.75">
      <c r="A36" s="58">
        <v>30</v>
      </c>
      <c r="B36" s="45" t="s">
        <v>22</v>
      </c>
      <c r="C36" s="15">
        <v>9607239.3399999999</v>
      </c>
      <c r="D36" s="15">
        <v>9106493.9499999993</v>
      </c>
      <c r="E36" s="15">
        <v>8806850.9499999993</v>
      </c>
      <c r="F36" s="15">
        <v>6643830.2999999998</v>
      </c>
      <c r="G36" s="15">
        <v>336837</v>
      </c>
      <c r="H36" s="15">
        <v>14178896.98</v>
      </c>
      <c r="I36" s="15">
        <v>10478583.5</v>
      </c>
      <c r="J36" s="15">
        <v>304281.51</v>
      </c>
      <c r="K36" s="15">
        <f>SUM(C36:J36)</f>
        <v>59463013.529999994</v>
      </c>
      <c r="L36" s="15">
        <f>K36/7</f>
        <v>8494716.2185714282</v>
      </c>
      <c r="M36" s="15">
        <f>+L36*30</f>
        <v>254841486.55714285</v>
      </c>
    </row>
    <row r="37" spans="1:14" ht="15.75">
      <c r="A37" s="58">
        <v>31</v>
      </c>
      <c r="B37" s="45" t="s">
        <v>23</v>
      </c>
      <c r="C37" s="15">
        <v>22552283.59</v>
      </c>
      <c r="D37" s="15">
        <v>17579289.039999999</v>
      </c>
      <c r="E37" s="15">
        <v>24165881.989999998</v>
      </c>
      <c r="F37" s="15">
        <v>18099202.199999999</v>
      </c>
      <c r="G37" s="15">
        <v>3886873.41</v>
      </c>
      <c r="H37" s="15">
        <v>24910031.07</v>
      </c>
      <c r="I37" s="15">
        <v>19501794.57</v>
      </c>
      <c r="J37" s="15">
        <v>3253917.64</v>
      </c>
      <c r="K37" s="15">
        <f>SUM(C37:J37)</f>
        <v>133949273.50999998</v>
      </c>
      <c r="L37" s="15">
        <f>K37/7</f>
        <v>19135610.501428567</v>
      </c>
      <c r="M37" s="15">
        <f>+L37*30</f>
        <v>574068315.04285705</v>
      </c>
    </row>
    <row r="38" spans="1:14" ht="16.5">
      <c r="A38" s="58">
        <v>32</v>
      </c>
      <c r="B38" s="51" t="s">
        <v>24</v>
      </c>
      <c r="C38" s="24">
        <f t="shared" ref="C38:J38" si="6">C36+C37</f>
        <v>32159522.93</v>
      </c>
      <c r="D38" s="24">
        <f t="shared" si="6"/>
        <v>26685782.989999998</v>
      </c>
      <c r="E38" s="24">
        <f t="shared" si="6"/>
        <v>32972732.939999998</v>
      </c>
      <c r="F38" s="24">
        <f t="shared" si="6"/>
        <v>24743032.5</v>
      </c>
      <c r="G38" s="24">
        <f t="shared" si="6"/>
        <v>4223710.41</v>
      </c>
      <c r="H38" s="24">
        <f t="shared" si="6"/>
        <v>39088928.049999997</v>
      </c>
      <c r="I38" s="24">
        <f t="shared" si="6"/>
        <v>29980378.07</v>
      </c>
      <c r="J38" s="24">
        <f t="shared" si="6"/>
        <v>3558199.1500000004</v>
      </c>
      <c r="K38" s="24">
        <f>SUM(C38:I38)</f>
        <v>189854087.88999999</v>
      </c>
      <c r="L38" s="24">
        <f>K38/7</f>
        <v>27122012.555714283</v>
      </c>
      <c r="M38" s="24">
        <f>SUM(M36:M37)</f>
        <v>828909801.5999999</v>
      </c>
    </row>
    <row r="39" spans="1:14" ht="15.75">
      <c r="A39" s="58">
        <v>33</v>
      </c>
      <c r="B39" s="52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4" ht="16.5">
      <c r="A40" s="58">
        <v>34</v>
      </c>
      <c r="B40" s="48" t="s">
        <v>21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4" ht="15.75">
      <c r="A41" s="58">
        <v>35</v>
      </c>
      <c r="B41" s="49" t="s">
        <v>25</v>
      </c>
      <c r="C41" s="17">
        <v>30705923.579999998</v>
      </c>
      <c r="D41" s="17">
        <v>25945196.239999998</v>
      </c>
      <c r="E41" s="17">
        <v>25833733.129999999</v>
      </c>
      <c r="F41" s="17">
        <v>24594658.5</v>
      </c>
      <c r="G41" s="17">
        <v>4221060.41</v>
      </c>
      <c r="H41" s="17">
        <v>38383521.969999999</v>
      </c>
      <c r="I41" s="17">
        <v>29739921.07</v>
      </c>
      <c r="J41" s="17">
        <v>3548908.15</v>
      </c>
      <c r="K41" s="17">
        <f>SUM(C41:J41)</f>
        <v>182972923.04999998</v>
      </c>
      <c r="L41" s="17">
        <f>K41/7</f>
        <v>26138989.007142853</v>
      </c>
      <c r="M41" s="17">
        <f>+M48+M52</f>
        <v>784169670.21428561</v>
      </c>
    </row>
    <row r="42" spans="1:14" ht="15.75">
      <c r="A42" s="58">
        <v>36</v>
      </c>
      <c r="B42" s="49" t="s">
        <v>26</v>
      </c>
      <c r="C42" s="17">
        <v>1453599.35</v>
      </c>
      <c r="D42" s="17">
        <v>740586.75</v>
      </c>
      <c r="E42" s="17">
        <v>7138999.8099999996</v>
      </c>
      <c r="F42" s="17">
        <v>148374</v>
      </c>
      <c r="G42" s="17">
        <v>2650</v>
      </c>
      <c r="H42" s="17">
        <v>705405.98</v>
      </c>
      <c r="I42" s="17">
        <v>240457</v>
      </c>
      <c r="J42" s="17">
        <v>9291</v>
      </c>
      <c r="K42" s="17">
        <f>SUM(C42:J42)</f>
        <v>10439363.890000001</v>
      </c>
      <c r="L42" s="17">
        <f>K42/7</f>
        <v>1491337.6985714287</v>
      </c>
      <c r="M42" s="17">
        <f>+M49+M58</f>
        <v>44740130.957142852</v>
      </c>
    </row>
    <row r="43" spans="1:14" ht="16.5">
      <c r="A43" s="58">
        <v>37</v>
      </c>
      <c r="B43" s="51" t="s">
        <v>24</v>
      </c>
      <c r="C43" s="24">
        <f t="shared" ref="C43:J43" si="7">SUM(C41:C42)</f>
        <v>32159522.93</v>
      </c>
      <c r="D43" s="24">
        <f t="shared" si="7"/>
        <v>26685782.989999998</v>
      </c>
      <c r="E43" s="24">
        <f t="shared" si="7"/>
        <v>32972732.939999998</v>
      </c>
      <c r="F43" s="24">
        <f t="shared" si="7"/>
        <v>24743032.5</v>
      </c>
      <c r="G43" s="24">
        <f t="shared" si="7"/>
        <v>4223710.41</v>
      </c>
      <c r="H43" s="24">
        <f t="shared" si="7"/>
        <v>39088927.949999996</v>
      </c>
      <c r="I43" s="24">
        <f t="shared" si="7"/>
        <v>29980378.07</v>
      </c>
      <c r="J43" s="24">
        <f t="shared" si="7"/>
        <v>3558199.15</v>
      </c>
      <c r="K43" s="24">
        <f>SUM(C43:I43)</f>
        <v>189854087.78999999</v>
      </c>
      <c r="L43" s="24">
        <f>K43/7</f>
        <v>27122012.54142857</v>
      </c>
      <c r="M43" s="24">
        <f>SUM(M41:M42)</f>
        <v>828909801.17142844</v>
      </c>
    </row>
    <row r="44" spans="1:14" ht="15.75">
      <c r="A44" s="58">
        <v>38</v>
      </c>
      <c r="B44" s="52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4" ht="16.5">
      <c r="A45" s="58">
        <v>39</v>
      </c>
      <c r="B45" s="48" t="s">
        <v>21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4" ht="16.5">
      <c r="A46" s="58">
        <v>40</v>
      </c>
      <c r="B46" s="48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4" ht="18">
      <c r="A47" s="58">
        <v>41</v>
      </c>
      <c r="B47" s="53" t="s">
        <v>27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4" ht="15.75">
      <c r="A48" s="58">
        <v>42</v>
      </c>
      <c r="B48" s="45" t="s">
        <v>25</v>
      </c>
      <c r="C48" s="15">
        <v>17916979.780000001</v>
      </c>
      <c r="D48" s="15">
        <v>16019914.59</v>
      </c>
      <c r="E48" s="15">
        <v>17790044.109999999</v>
      </c>
      <c r="F48" s="15">
        <v>12397058.16</v>
      </c>
      <c r="G48" s="15">
        <v>3551774.11</v>
      </c>
      <c r="H48" s="15">
        <v>21825008.43</v>
      </c>
      <c r="I48" s="15">
        <v>19419620.190000001</v>
      </c>
      <c r="J48" s="15">
        <v>2204757.46</v>
      </c>
      <c r="K48" s="15">
        <f>SUM(C48:J48)</f>
        <v>111125156.83</v>
      </c>
      <c r="L48" s="15">
        <f>K48/7</f>
        <v>15875022.404285714</v>
      </c>
      <c r="M48" s="15">
        <f>+L48*30</f>
        <v>476250672.12857139</v>
      </c>
    </row>
    <row r="49" spans="1:13" ht="15.75">
      <c r="A49" s="58">
        <v>43</v>
      </c>
      <c r="B49" s="45" t="s">
        <v>26</v>
      </c>
      <c r="C49" s="15">
        <v>1280817.68</v>
      </c>
      <c r="D49" s="15">
        <v>304179.19</v>
      </c>
      <c r="E49" s="15">
        <v>116594</v>
      </c>
      <c r="F49" s="15">
        <v>147294</v>
      </c>
      <c r="G49" s="15">
        <v>2650</v>
      </c>
      <c r="H49" s="15">
        <v>604064.32999999996</v>
      </c>
      <c r="I49" s="15">
        <v>240457</v>
      </c>
      <c r="J49" s="15">
        <v>9291</v>
      </c>
      <c r="K49" s="15">
        <f>SUM(C49:J49)</f>
        <v>2705347.1999999997</v>
      </c>
      <c r="L49" s="15">
        <f>K49/7</f>
        <v>386478.1714285714</v>
      </c>
      <c r="M49" s="15">
        <f>+L49*30</f>
        <v>11594345.142857142</v>
      </c>
    </row>
    <row r="50" spans="1:13" ht="15.75">
      <c r="A50" s="58">
        <v>44</v>
      </c>
      <c r="B50" s="49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ht="18">
      <c r="A51" s="58">
        <v>45</v>
      </c>
      <c r="B51" s="53" t="s">
        <v>28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ht="15.75">
      <c r="A52" s="58">
        <v>46</v>
      </c>
      <c r="B52" s="45" t="s">
        <v>25</v>
      </c>
      <c r="C52" s="15">
        <f t="shared" ref="C52:J52" si="8">C53+C54+C55+C56</f>
        <v>12788943.800000001</v>
      </c>
      <c r="D52" s="15">
        <f t="shared" si="8"/>
        <v>9925281.6500000004</v>
      </c>
      <c r="E52" s="15">
        <f t="shared" si="8"/>
        <v>8043689.0199999996</v>
      </c>
      <c r="F52" s="15">
        <f t="shared" si="8"/>
        <v>12197600.34</v>
      </c>
      <c r="G52" s="15">
        <f t="shared" si="8"/>
        <v>669286.30000000005</v>
      </c>
      <c r="H52" s="15">
        <f t="shared" si="8"/>
        <v>16558513.539999999</v>
      </c>
      <c r="I52" s="15">
        <f t="shared" si="8"/>
        <v>10320300.880000001</v>
      </c>
      <c r="J52" s="15">
        <f t="shared" si="8"/>
        <v>1344150.69</v>
      </c>
      <c r="K52" s="15">
        <f>SUM(C52:I52)</f>
        <v>70503615.530000001</v>
      </c>
      <c r="L52" s="15">
        <f>K52/7</f>
        <v>10071945.075714286</v>
      </c>
      <c r="M52" s="15">
        <f>SUM(M53:M56)</f>
        <v>307918998.08571428</v>
      </c>
    </row>
    <row r="53" spans="1:13" ht="15.75">
      <c r="A53" s="58">
        <v>47</v>
      </c>
      <c r="B53" s="49" t="s">
        <v>29</v>
      </c>
      <c r="C53" s="17">
        <v>4443392.8099999996</v>
      </c>
      <c r="D53" s="17">
        <v>3686852.58</v>
      </c>
      <c r="E53" s="17">
        <v>2661694.96</v>
      </c>
      <c r="F53" s="17">
        <v>3497587.15</v>
      </c>
      <c r="G53" s="17">
        <v>461873.94</v>
      </c>
      <c r="H53" s="17">
        <v>3941063.17</v>
      </c>
      <c r="I53" s="17">
        <v>2696235.49</v>
      </c>
      <c r="J53" s="17">
        <v>1091159.9099999999</v>
      </c>
      <c r="K53" s="17">
        <f>SUM(C53:J53)</f>
        <v>22479860.010000002</v>
      </c>
      <c r="L53" s="17">
        <f>K53/7</f>
        <v>3211408.5728571429</v>
      </c>
      <c r="M53" s="17">
        <f>+L53*30</f>
        <v>96342257.18571429</v>
      </c>
    </row>
    <row r="54" spans="1:13" ht="15.75">
      <c r="A54" s="58">
        <v>48</v>
      </c>
      <c r="B54" s="49" t="s">
        <v>30</v>
      </c>
      <c r="C54" s="17">
        <v>0</v>
      </c>
      <c r="D54" s="17">
        <v>60948.9</v>
      </c>
      <c r="E54" s="17">
        <v>0</v>
      </c>
      <c r="F54" s="17">
        <v>20009.09</v>
      </c>
      <c r="G54" s="17">
        <v>0</v>
      </c>
      <c r="H54" s="17"/>
      <c r="I54" s="17">
        <v>0</v>
      </c>
      <c r="J54" s="17">
        <v>0</v>
      </c>
      <c r="K54" s="17">
        <f>SUM(C54:J54)</f>
        <v>80957.990000000005</v>
      </c>
      <c r="L54" s="17">
        <f>K54/7</f>
        <v>11565.427142857143</v>
      </c>
      <c r="M54" s="17">
        <f>+L54*30</f>
        <v>346962.8142857143</v>
      </c>
    </row>
    <row r="55" spans="1:13" ht="15.75">
      <c r="A55" s="58">
        <v>49</v>
      </c>
      <c r="B55" s="49" t="s">
        <v>31</v>
      </c>
      <c r="C55" s="17">
        <v>6847868.0999999996</v>
      </c>
      <c r="D55" s="17">
        <v>5645899.6200000001</v>
      </c>
      <c r="E55" s="17">
        <v>4298932.55</v>
      </c>
      <c r="F55" s="17">
        <v>7372141.4400000004</v>
      </c>
      <c r="G55" s="17">
        <v>147564.17000000001</v>
      </c>
      <c r="H55" s="17">
        <v>11317262.609999999</v>
      </c>
      <c r="I55" s="17">
        <v>5426065.6100000003</v>
      </c>
      <c r="J55" s="17">
        <v>252990.78</v>
      </c>
      <c r="K55" s="17">
        <f>SUM(C55:J55)</f>
        <v>41308724.880000003</v>
      </c>
      <c r="L55" s="17">
        <f>K55/7</f>
        <v>5901246.4114285717</v>
      </c>
      <c r="M55" s="17">
        <f>+L55*30</f>
        <v>177037392.34285715</v>
      </c>
    </row>
    <row r="56" spans="1:13" ht="15.75">
      <c r="A56" s="58">
        <v>50</v>
      </c>
      <c r="B56" s="49" t="s">
        <v>32</v>
      </c>
      <c r="C56" s="17">
        <v>1497682.89</v>
      </c>
      <c r="D56" s="17">
        <v>531580.55000000005</v>
      </c>
      <c r="E56" s="17">
        <v>1083061.51</v>
      </c>
      <c r="F56" s="17">
        <v>1307862.6599999999</v>
      </c>
      <c r="G56" s="17">
        <v>59848.19</v>
      </c>
      <c r="H56" s="17">
        <v>1300187.76</v>
      </c>
      <c r="I56" s="17">
        <v>2197999.7799999998</v>
      </c>
      <c r="J56" s="17"/>
      <c r="K56" s="17">
        <f>SUM(C56:I56)</f>
        <v>7978223.3399999999</v>
      </c>
      <c r="L56" s="17">
        <f>K56/7</f>
        <v>1139746.1914285715</v>
      </c>
      <c r="M56" s="17">
        <f>+L56*30</f>
        <v>34192385.742857143</v>
      </c>
    </row>
    <row r="57" spans="1:13" ht="15.75">
      <c r="A57" s="58">
        <v>51</v>
      </c>
      <c r="B57" s="49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5.75">
      <c r="A58" s="58">
        <v>52</v>
      </c>
      <c r="B58" s="45" t="s">
        <v>26</v>
      </c>
      <c r="C58" s="15">
        <f t="shared" ref="C58:I58" si="9">C59+C60</f>
        <v>172781.67</v>
      </c>
      <c r="D58" s="15">
        <f t="shared" si="9"/>
        <v>436407.56</v>
      </c>
      <c r="E58" s="15">
        <f t="shared" si="9"/>
        <v>7022405.8099999996</v>
      </c>
      <c r="F58" s="15">
        <f t="shared" si="9"/>
        <v>1080</v>
      </c>
      <c r="G58" s="15">
        <f t="shared" si="9"/>
        <v>0</v>
      </c>
      <c r="H58" s="15">
        <f t="shared" si="9"/>
        <v>101341.65</v>
      </c>
      <c r="I58" s="15">
        <f t="shared" si="9"/>
        <v>0</v>
      </c>
      <c r="J58" s="15">
        <v>0</v>
      </c>
      <c r="K58" s="15">
        <f>SUM(C58:I58)</f>
        <v>7734016.6899999995</v>
      </c>
      <c r="L58" s="15">
        <f>K58/7</f>
        <v>1104859.527142857</v>
      </c>
      <c r="M58" s="15">
        <f>SUM(M59:M60)</f>
        <v>33145785.81428571</v>
      </c>
    </row>
    <row r="59" spans="1:13" ht="15.75">
      <c r="A59" s="58">
        <v>53</v>
      </c>
      <c r="B59" s="49" t="s">
        <v>33</v>
      </c>
      <c r="C59" s="17">
        <v>172781.67</v>
      </c>
      <c r="D59" s="17">
        <v>436407.56</v>
      </c>
      <c r="E59" s="17">
        <v>7022405.8099999996</v>
      </c>
      <c r="F59" s="17">
        <v>1080</v>
      </c>
      <c r="G59" s="17">
        <v>0</v>
      </c>
      <c r="H59" s="17">
        <v>101341.65</v>
      </c>
      <c r="I59" s="17">
        <v>0</v>
      </c>
      <c r="J59" s="17">
        <v>0</v>
      </c>
      <c r="K59" s="17">
        <f>SUM(C59:J59)</f>
        <v>7734016.6899999995</v>
      </c>
      <c r="L59" s="17">
        <f>K59/7</f>
        <v>1104859.527142857</v>
      </c>
      <c r="M59" s="17">
        <f>+L59*30</f>
        <v>33145785.81428571</v>
      </c>
    </row>
    <row r="60" spans="1:13" ht="15.75">
      <c r="A60" s="58">
        <v>54</v>
      </c>
      <c r="B60" s="49" t="s">
        <v>32</v>
      </c>
      <c r="C60" s="17"/>
      <c r="D60" s="17"/>
      <c r="E60" s="17"/>
      <c r="F60" s="17"/>
      <c r="G60" s="17"/>
      <c r="H60" s="17"/>
      <c r="I60" s="17"/>
      <c r="J60" s="17"/>
      <c r="K60" s="17">
        <f>SUM(C60:G60)</f>
        <v>0</v>
      </c>
      <c r="L60" s="17">
        <f>K60/30</f>
        <v>0</v>
      </c>
      <c r="M60" s="17">
        <f>+L60*30</f>
        <v>0</v>
      </c>
    </row>
    <row r="61" spans="1:13" ht="16.5">
      <c r="A61" s="58">
        <v>55</v>
      </c>
      <c r="B61" s="51" t="s">
        <v>24</v>
      </c>
      <c r="C61" s="24">
        <f>+C48+C49+C52+C58</f>
        <v>32159522.930000003</v>
      </c>
      <c r="D61" s="24">
        <f t="shared" ref="D61:J61" si="10">+D48+D49+D52+D58</f>
        <v>26685782.989999998</v>
      </c>
      <c r="E61" s="24">
        <f t="shared" si="10"/>
        <v>32972732.939999998</v>
      </c>
      <c r="F61" s="24">
        <f t="shared" si="10"/>
        <v>24743032.5</v>
      </c>
      <c r="G61" s="24">
        <f>+G48+G49+G52+G58</f>
        <v>4223710.41</v>
      </c>
      <c r="H61" s="24">
        <f t="shared" si="10"/>
        <v>39088927.949999996</v>
      </c>
      <c r="I61" s="24">
        <f t="shared" si="10"/>
        <v>29980378.07</v>
      </c>
      <c r="J61" s="24">
        <f t="shared" si="10"/>
        <v>3558199.15</v>
      </c>
      <c r="K61" s="24">
        <f>SUM(C61:I61)</f>
        <v>189854087.78999999</v>
      </c>
      <c r="L61" s="24">
        <f>K61/7</f>
        <v>27122012.54142857</v>
      </c>
      <c r="M61" s="24">
        <f>+M48+M49+M52+M58</f>
        <v>828909801.17142856</v>
      </c>
    </row>
    <row r="62" spans="1:13" ht="15.75">
      <c r="A62" s="58">
        <v>56</v>
      </c>
      <c r="B62" s="5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ht="19.5">
      <c r="A63" s="58">
        <v>57</v>
      </c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4" spans="1:13" ht="16.5">
      <c r="A64" s="58">
        <v>58</v>
      </c>
      <c r="B64" s="54" t="s">
        <v>34</v>
      </c>
      <c r="C64" s="28">
        <v>8896966.5699999724</v>
      </c>
      <c r="D64" s="28">
        <v>9978285.4600000121</v>
      </c>
      <c r="E64" s="28">
        <v>9450738.8200000264</v>
      </c>
      <c r="F64" s="28">
        <v>7937347.2499999972</v>
      </c>
      <c r="G64" s="28">
        <v>2428464.0599999912</v>
      </c>
      <c r="H64" s="28">
        <v>9557075.8500000183</v>
      </c>
      <c r="I64" s="28">
        <v>9782405.4199999738</v>
      </c>
      <c r="J64" s="28">
        <v>2841146.7400000095</v>
      </c>
      <c r="K64" s="28">
        <f>SUM(C64:I64)</f>
        <v>58031283.429999985</v>
      </c>
      <c r="L64" s="28">
        <f>K64/7</f>
        <v>8290183.3471428547</v>
      </c>
      <c r="M64" s="28">
        <f>+L64*30</f>
        <v>248705500.41428563</v>
      </c>
    </row>
    <row r="65" spans="1:13" ht="16.5">
      <c r="A65" s="58">
        <v>59</v>
      </c>
      <c r="B65" s="48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ht="15.75">
      <c r="A66" s="58">
        <v>60</v>
      </c>
      <c r="B66" s="52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6.5">
      <c r="A67" s="58">
        <v>61</v>
      </c>
      <c r="B67" s="51" t="s">
        <v>35</v>
      </c>
      <c r="C67" s="24">
        <f>+C61-C64</f>
        <v>23262556.360000029</v>
      </c>
      <c r="D67" s="24">
        <f t="shared" ref="D67:J67" si="11">+D61-D64</f>
        <v>16707497.529999986</v>
      </c>
      <c r="E67" s="24">
        <f t="shared" si="11"/>
        <v>23521994.119999971</v>
      </c>
      <c r="F67" s="24">
        <f t="shared" si="11"/>
        <v>16805685.250000004</v>
      </c>
      <c r="G67" s="24">
        <f t="shared" si="11"/>
        <v>1795246.3500000089</v>
      </c>
      <c r="H67" s="24">
        <f t="shared" si="11"/>
        <v>29531852.099999979</v>
      </c>
      <c r="I67" s="24">
        <f t="shared" si="11"/>
        <v>20197972.650000028</v>
      </c>
      <c r="J67" s="24">
        <f t="shared" si="11"/>
        <v>717052.40999999037</v>
      </c>
      <c r="K67" s="24">
        <f>SUM(C67:I67)</f>
        <v>131822804.36000001</v>
      </c>
      <c r="L67" s="24">
        <f>K67/7</f>
        <v>18831829.194285717</v>
      </c>
      <c r="M67" s="24">
        <f>+M61-M64</f>
        <v>580204300.7571429</v>
      </c>
    </row>
    <row r="68" spans="1:13" ht="15.75">
      <c r="A68" s="58">
        <v>62</v>
      </c>
      <c r="B68" s="52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5.75">
      <c r="A69" s="58">
        <v>63</v>
      </c>
      <c r="B69" s="52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6.5">
      <c r="A70" s="58">
        <v>64</v>
      </c>
      <c r="B70" s="48" t="s">
        <v>36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ht="15.75">
      <c r="A71" s="58">
        <v>65</v>
      </c>
      <c r="B71" s="49" t="s">
        <v>37</v>
      </c>
      <c r="C71" s="17">
        <v>3417248</v>
      </c>
      <c r="D71" s="17">
        <v>4098908.0000000037</v>
      </c>
      <c r="E71" s="17">
        <v>4326012</v>
      </c>
      <c r="F71" s="17">
        <v>1460116.0000000037</v>
      </c>
      <c r="G71" s="17">
        <v>3251114</v>
      </c>
      <c r="H71" s="17">
        <v>8617640</v>
      </c>
      <c r="I71" s="17">
        <v>6845762.0000000112</v>
      </c>
      <c r="J71" s="17">
        <v>5882526</v>
      </c>
      <c r="K71" s="17">
        <f t="shared" ref="K71:K77" si="12">SUM(C71:I71)</f>
        <v>32016800.000000019</v>
      </c>
      <c r="L71" s="17">
        <f t="shared" ref="L71:L77" si="13">K71/7</f>
        <v>4573828.5714285737</v>
      </c>
      <c r="M71" s="17">
        <f t="shared" ref="M71:M76" si="14">+L71*30</f>
        <v>137214857.14285722</v>
      </c>
    </row>
    <row r="72" spans="1:13" ht="15.75">
      <c r="A72" s="58">
        <v>66</v>
      </c>
      <c r="B72" s="49" t="s">
        <v>69</v>
      </c>
      <c r="C72" s="17">
        <v>11641401</v>
      </c>
      <c r="D72" s="17">
        <v>11128537</v>
      </c>
      <c r="E72" s="17">
        <v>10345583</v>
      </c>
      <c r="F72" s="17">
        <v>7960139</v>
      </c>
      <c r="G72" s="17">
        <v>4032379</v>
      </c>
      <c r="H72" s="17">
        <v>14083422</v>
      </c>
      <c r="I72" s="17">
        <v>13382780</v>
      </c>
      <c r="J72" s="17">
        <v>5747071</v>
      </c>
      <c r="K72" s="17">
        <f t="shared" si="12"/>
        <v>72574241</v>
      </c>
      <c r="L72" s="17">
        <f t="shared" si="13"/>
        <v>10367748.714285715</v>
      </c>
      <c r="M72" s="17">
        <f t="shared" si="14"/>
        <v>311032461.42857146</v>
      </c>
    </row>
    <row r="73" spans="1:13" ht="15.75">
      <c r="A73" s="58">
        <v>67</v>
      </c>
      <c r="B73" s="49" t="s">
        <v>39</v>
      </c>
      <c r="C73" s="17">
        <v>11465896.779999999</v>
      </c>
      <c r="D73" s="17">
        <v>17608836.539999999</v>
      </c>
      <c r="E73" s="17">
        <v>5825434.6000000006</v>
      </c>
      <c r="F73" s="17">
        <v>6766948.2999999998</v>
      </c>
      <c r="G73" s="17">
        <v>365542.6</v>
      </c>
      <c r="H73" s="17">
        <v>16631084.699999999</v>
      </c>
      <c r="I73" s="17">
        <v>9300537.1999999993</v>
      </c>
      <c r="J73" s="17">
        <v>2341159</v>
      </c>
      <c r="K73" s="17">
        <f t="shared" si="12"/>
        <v>67964280.719999999</v>
      </c>
      <c r="L73" s="17">
        <f t="shared" si="13"/>
        <v>9709182.959999999</v>
      </c>
      <c r="M73" s="17">
        <f t="shared" si="14"/>
        <v>291275488.79999995</v>
      </c>
    </row>
    <row r="74" spans="1:13" ht="15.75">
      <c r="A74" s="58">
        <v>68</v>
      </c>
      <c r="B74" s="49" t="s">
        <v>40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f>SUM(C74:J74)</f>
        <v>0</v>
      </c>
      <c r="L74" s="17">
        <f t="shared" si="13"/>
        <v>0</v>
      </c>
      <c r="M74" s="17">
        <f t="shared" si="14"/>
        <v>0</v>
      </c>
    </row>
    <row r="75" spans="1:13" ht="15.75">
      <c r="A75" s="58">
        <v>69</v>
      </c>
      <c r="B75" s="55" t="s">
        <v>41</v>
      </c>
      <c r="C75" s="17">
        <v>237811</v>
      </c>
      <c r="D75" s="17">
        <v>344541</v>
      </c>
      <c r="E75" s="17">
        <v>230114</v>
      </c>
      <c r="F75" s="17">
        <v>202961</v>
      </c>
      <c r="G75" s="17">
        <v>44152</v>
      </c>
      <c r="H75" s="17">
        <v>207607</v>
      </c>
      <c r="I75" s="17">
        <v>336941</v>
      </c>
      <c r="J75" s="17">
        <v>44652</v>
      </c>
      <c r="K75" s="17">
        <f t="shared" si="12"/>
        <v>1604127</v>
      </c>
      <c r="L75" s="17">
        <f t="shared" si="13"/>
        <v>229161</v>
      </c>
      <c r="M75" s="17">
        <f t="shared" si="14"/>
        <v>6874830</v>
      </c>
    </row>
    <row r="76" spans="1:13" ht="15.75">
      <c r="A76" s="58">
        <v>70</v>
      </c>
      <c r="B76" s="55" t="s">
        <v>42</v>
      </c>
      <c r="C76" s="17">
        <v>989648</v>
      </c>
      <c r="D76" s="17">
        <v>3292406</v>
      </c>
      <c r="E76" s="17">
        <v>2032016</v>
      </c>
      <c r="F76" s="17">
        <v>926683</v>
      </c>
      <c r="G76" s="17">
        <v>0</v>
      </c>
      <c r="H76" s="17">
        <v>2543568</v>
      </c>
      <c r="I76" s="17">
        <v>1073713</v>
      </c>
      <c r="J76" s="17">
        <v>0</v>
      </c>
      <c r="K76" s="17">
        <f>SUM(C76:J76)</f>
        <v>10858034</v>
      </c>
      <c r="L76" s="17">
        <f t="shared" si="13"/>
        <v>1551147.7142857143</v>
      </c>
      <c r="M76" s="17">
        <f t="shared" si="14"/>
        <v>46534431.428571433</v>
      </c>
    </row>
    <row r="77" spans="1:13" ht="17.25" thickBot="1">
      <c r="A77" s="58">
        <v>71</v>
      </c>
      <c r="B77" s="56" t="s">
        <v>43</v>
      </c>
      <c r="C77" s="24">
        <f t="shared" ref="C77:J77" si="15">C71+C72+C73+C74-C75-C76</f>
        <v>25297086.780000001</v>
      </c>
      <c r="D77" s="24">
        <f t="shared" si="15"/>
        <v>29199334.540000003</v>
      </c>
      <c r="E77" s="24">
        <f t="shared" si="15"/>
        <v>18234899.600000001</v>
      </c>
      <c r="F77" s="24">
        <f t="shared" si="15"/>
        <v>15057559.300000004</v>
      </c>
      <c r="G77" s="24">
        <f t="shared" si="15"/>
        <v>7604883.5999999996</v>
      </c>
      <c r="H77" s="24">
        <f t="shared" si="15"/>
        <v>36580971.700000003</v>
      </c>
      <c r="I77" s="24">
        <f t="shared" si="15"/>
        <v>28118425.20000001</v>
      </c>
      <c r="J77" s="24">
        <f t="shared" si="15"/>
        <v>13926104</v>
      </c>
      <c r="K77" s="24">
        <f t="shared" si="12"/>
        <v>160093160.72000003</v>
      </c>
      <c r="L77" s="24">
        <f t="shared" si="13"/>
        <v>22870451.531428576</v>
      </c>
      <c r="M77" s="24">
        <f>+M71+M72+M73+M74-M75-M76</f>
        <v>686113545.94285715</v>
      </c>
    </row>
    <row r="80" spans="1:13">
      <c r="F80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selection activeCell="L14" sqref="L14"/>
    </sheetView>
  </sheetViews>
  <sheetFormatPr defaultRowHeight="14.25"/>
  <cols>
    <col min="1" max="1" width="15.625" customWidth="1"/>
    <col min="2" max="2" width="17.125" customWidth="1"/>
    <col min="3" max="3" width="16.375" customWidth="1"/>
    <col min="4" max="4" width="14.25" customWidth="1"/>
    <col min="5" max="5" width="13.875" customWidth="1"/>
    <col min="6" max="6" width="15.625" customWidth="1"/>
    <col min="7" max="7" width="36" customWidth="1"/>
    <col min="8" max="8" width="14.5" customWidth="1"/>
  </cols>
  <sheetData>
    <row r="1" spans="1:8" ht="30.75" thickBot="1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95</v>
      </c>
      <c r="G1" s="3" t="s">
        <v>1</v>
      </c>
      <c r="H1" s="4" t="s">
        <v>99</v>
      </c>
    </row>
    <row r="2" spans="1:8" ht="15.75">
      <c r="A2" s="6"/>
      <c r="B2" s="6"/>
      <c r="C2" s="6"/>
      <c r="D2" s="6"/>
      <c r="E2" s="6"/>
      <c r="F2" s="6"/>
      <c r="G2" s="5"/>
      <c r="H2" s="6"/>
    </row>
    <row r="3" spans="1:8" ht="16.5">
      <c r="A3" s="8"/>
      <c r="B3" s="8"/>
      <c r="C3" s="8"/>
      <c r="D3" s="8"/>
      <c r="E3" s="8"/>
      <c r="F3" s="8"/>
      <c r="G3" s="7" t="s">
        <v>2</v>
      </c>
      <c r="H3" s="8"/>
    </row>
    <row r="4" spans="1:8" ht="15.75">
      <c r="A4" s="8">
        <v>1000</v>
      </c>
      <c r="B4" s="8">
        <v>1000</v>
      </c>
      <c r="C4" s="8">
        <v>1000</v>
      </c>
      <c r="D4" s="8">
        <v>1000</v>
      </c>
      <c r="E4" s="8">
        <v>1000</v>
      </c>
      <c r="F4" s="8">
        <v>30000</v>
      </c>
      <c r="G4" s="9" t="s">
        <v>3</v>
      </c>
      <c r="H4" s="8">
        <v>1000</v>
      </c>
    </row>
    <row r="5" spans="1:8" ht="15.75">
      <c r="A5" s="32">
        <v>930.33333333333337</v>
      </c>
      <c r="B5" s="32">
        <v>930.33333333333337</v>
      </c>
      <c r="C5" s="33">
        <v>967</v>
      </c>
      <c r="D5" s="33">
        <v>967</v>
      </c>
      <c r="E5" s="33">
        <v>983.5</v>
      </c>
      <c r="F5" s="8">
        <v>29505</v>
      </c>
      <c r="G5" s="9" t="s">
        <v>4</v>
      </c>
      <c r="H5" s="8">
        <v>969</v>
      </c>
    </row>
    <row r="6" spans="1:8" ht="16.5">
      <c r="A6" s="11">
        <v>0.93033333333333335</v>
      </c>
      <c r="B6" s="11">
        <v>0.93033333333333335</v>
      </c>
      <c r="C6" s="11">
        <v>0.96699999999999997</v>
      </c>
      <c r="D6" s="11">
        <v>0.96699999999999997</v>
      </c>
      <c r="E6" s="11">
        <v>0.98350000000000004</v>
      </c>
      <c r="F6" s="11">
        <v>0.98350000000000004</v>
      </c>
      <c r="G6" s="10" t="s">
        <v>5</v>
      </c>
      <c r="H6" s="11">
        <f t="shared" ref="H6" si="0">+H5/H4</f>
        <v>0.96899999999999997</v>
      </c>
    </row>
    <row r="7" spans="1:8" ht="15">
      <c r="A7" s="32"/>
      <c r="B7" s="32"/>
      <c r="C7" s="32"/>
      <c r="D7" s="32"/>
      <c r="E7" s="32"/>
      <c r="F7" s="32"/>
      <c r="G7" s="12"/>
      <c r="H7" s="32"/>
    </row>
    <row r="8" spans="1:8" ht="16.5">
      <c r="A8" s="32"/>
      <c r="B8" s="32"/>
      <c r="C8" s="32"/>
      <c r="D8" s="32"/>
      <c r="E8" s="32"/>
      <c r="F8" s="32"/>
      <c r="G8" s="13" t="s">
        <v>6</v>
      </c>
      <c r="H8" s="32"/>
    </row>
    <row r="9" spans="1:8" ht="15.75">
      <c r="A9" s="15">
        <v>345.4</v>
      </c>
      <c r="B9" s="15">
        <v>10362</v>
      </c>
      <c r="C9" s="15">
        <v>356.48387096774195</v>
      </c>
      <c r="D9" s="15">
        <v>11051</v>
      </c>
      <c r="E9" s="15">
        <v>386.16666666666669</v>
      </c>
      <c r="F9" s="15">
        <v>11585</v>
      </c>
      <c r="G9" s="14" t="s">
        <v>7</v>
      </c>
      <c r="H9" s="15">
        <v>46</v>
      </c>
    </row>
    <row r="10" spans="1:8" ht="15.75">
      <c r="A10" s="15">
        <v>3003.3666666666668</v>
      </c>
      <c r="B10" s="15">
        <v>90101</v>
      </c>
      <c r="C10" s="15">
        <v>3099.8064516129034</v>
      </c>
      <c r="D10" s="15">
        <v>96094</v>
      </c>
      <c r="E10" s="15">
        <v>3273.0333333333333</v>
      </c>
      <c r="F10" s="15">
        <v>98191</v>
      </c>
      <c r="G10" s="14" t="s">
        <v>8</v>
      </c>
      <c r="H10" s="15">
        <v>123</v>
      </c>
    </row>
    <row r="11" spans="1:8" ht="15.75">
      <c r="A11" s="15">
        <v>260.26666666666665</v>
      </c>
      <c r="B11" s="15">
        <v>7808</v>
      </c>
      <c r="C11" s="15">
        <v>260.51612903225799</v>
      </c>
      <c r="D11" s="15">
        <v>8076</v>
      </c>
      <c r="E11" s="15">
        <v>283.83333333333331</v>
      </c>
      <c r="F11" s="15">
        <v>8515</v>
      </c>
      <c r="G11" s="14" t="s">
        <v>9</v>
      </c>
      <c r="H11" s="15">
        <f t="shared" ref="H11" si="1">H12+H13+H14+H15+H16</f>
        <v>109</v>
      </c>
    </row>
    <row r="12" spans="1:8" ht="15">
      <c r="A12" s="17">
        <v>200.76666666666668</v>
      </c>
      <c r="B12" s="17">
        <v>6023</v>
      </c>
      <c r="C12" s="17">
        <v>194.45161290322579</v>
      </c>
      <c r="D12" s="17">
        <v>6028</v>
      </c>
      <c r="E12" s="17">
        <v>211.73333333333332</v>
      </c>
      <c r="F12" s="17">
        <v>6352</v>
      </c>
      <c r="G12" s="16" t="s">
        <v>10</v>
      </c>
      <c r="H12" s="17">
        <v>70</v>
      </c>
    </row>
    <row r="13" spans="1:8" ht="15">
      <c r="A13" s="17">
        <v>30.2</v>
      </c>
      <c r="B13" s="17">
        <v>906</v>
      </c>
      <c r="C13" s="17">
        <v>35.58064516129032</v>
      </c>
      <c r="D13" s="17">
        <v>1103</v>
      </c>
      <c r="E13" s="17">
        <v>37.5</v>
      </c>
      <c r="F13" s="17">
        <v>1125</v>
      </c>
      <c r="G13" s="16" t="s">
        <v>11</v>
      </c>
      <c r="H13" s="17">
        <v>22</v>
      </c>
    </row>
    <row r="14" spans="1:8" ht="15">
      <c r="A14" s="17">
        <v>25.866666666666667</v>
      </c>
      <c r="B14" s="17">
        <v>776</v>
      </c>
      <c r="C14" s="17">
        <v>27</v>
      </c>
      <c r="D14" s="17">
        <v>837</v>
      </c>
      <c r="E14" s="17">
        <v>31.4</v>
      </c>
      <c r="F14" s="17">
        <v>942</v>
      </c>
      <c r="G14" s="16" t="s">
        <v>12</v>
      </c>
      <c r="H14" s="17">
        <v>17</v>
      </c>
    </row>
    <row r="15" spans="1:8" ht="15">
      <c r="A15" s="17">
        <v>0.76666666666666672</v>
      </c>
      <c r="B15" s="17">
        <v>23</v>
      </c>
      <c r="C15" s="17">
        <v>0.83870967741935487</v>
      </c>
      <c r="D15" s="17">
        <v>26</v>
      </c>
      <c r="E15" s="17">
        <v>0.33333333333333331</v>
      </c>
      <c r="F15" s="17">
        <v>10</v>
      </c>
      <c r="G15" s="16" t="s">
        <v>13</v>
      </c>
      <c r="H15" s="17">
        <v>0</v>
      </c>
    </row>
    <row r="16" spans="1:8" ht="15">
      <c r="A16" s="17">
        <v>2.6666666666666665</v>
      </c>
      <c r="B16" s="17">
        <v>80</v>
      </c>
      <c r="C16" s="17">
        <v>2.6451612903225805</v>
      </c>
      <c r="D16" s="17">
        <v>82</v>
      </c>
      <c r="E16" s="17">
        <v>2.8666666666666667</v>
      </c>
      <c r="F16" s="17">
        <v>86</v>
      </c>
      <c r="G16" s="16" t="s">
        <v>14</v>
      </c>
      <c r="H16" s="17">
        <v>0</v>
      </c>
    </row>
    <row r="17" spans="1:8" ht="15">
      <c r="A17" s="17"/>
      <c r="B17" s="17"/>
      <c r="C17" s="17"/>
      <c r="D17" s="17"/>
      <c r="E17" s="17"/>
      <c r="F17" s="17"/>
      <c r="G17" s="18"/>
      <c r="H17" s="17"/>
    </row>
    <row r="18" spans="1:8" ht="15">
      <c r="A18" s="17">
        <v>44.366666666666667</v>
      </c>
      <c r="B18" s="17">
        <v>1331</v>
      </c>
      <c r="C18" s="17">
        <v>44.58064516129032</v>
      </c>
      <c r="D18" s="17">
        <v>1382</v>
      </c>
      <c r="E18" s="17">
        <v>48.06666666666667</v>
      </c>
      <c r="F18" s="17">
        <v>1442</v>
      </c>
      <c r="G18" s="18" t="s">
        <v>15</v>
      </c>
      <c r="H18" s="17">
        <v>45</v>
      </c>
    </row>
    <row r="19" spans="1:8" ht="15">
      <c r="A19" s="17">
        <v>74.7</v>
      </c>
      <c r="B19" s="17">
        <v>2241</v>
      </c>
      <c r="C19" s="17">
        <v>80.064516129032256</v>
      </c>
      <c r="D19" s="17">
        <v>2482</v>
      </c>
      <c r="E19" s="17">
        <v>82.7</v>
      </c>
      <c r="F19" s="17">
        <v>2481</v>
      </c>
      <c r="G19" s="18" t="s">
        <v>16</v>
      </c>
      <c r="H19" s="17">
        <v>58</v>
      </c>
    </row>
    <row r="20" spans="1:8" ht="15">
      <c r="A20" s="17">
        <v>129.36666666666667</v>
      </c>
      <c r="B20" s="17">
        <v>3881</v>
      </c>
      <c r="C20" s="17">
        <v>124.6774193548387</v>
      </c>
      <c r="D20" s="17">
        <v>3865</v>
      </c>
      <c r="E20" s="17">
        <v>143.13333333333333</v>
      </c>
      <c r="F20" s="17">
        <v>4294</v>
      </c>
      <c r="G20" s="18" t="s">
        <v>17</v>
      </c>
      <c r="H20" s="17">
        <v>6</v>
      </c>
    </row>
    <row r="21" spans="1:8" ht="15">
      <c r="A21" s="17"/>
      <c r="B21" s="17"/>
      <c r="C21" s="17"/>
      <c r="D21" s="17"/>
      <c r="E21" s="17"/>
      <c r="F21" s="17"/>
      <c r="G21" s="18"/>
      <c r="H21" s="17"/>
    </row>
    <row r="22" spans="1:8" ht="15.75">
      <c r="A22" s="15">
        <v>262.5</v>
      </c>
      <c r="B22" s="15">
        <v>7875</v>
      </c>
      <c r="C22" s="15">
        <v>261.03225806451616</v>
      </c>
      <c r="D22" s="15">
        <v>8092</v>
      </c>
      <c r="E22" s="15">
        <v>281.93333333333334</v>
      </c>
      <c r="F22" s="15">
        <v>8458</v>
      </c>
      <c r="G22" s="14" t="s">
        <v>18</v>
      </c>
      <c r="H22" s="15">
        <f t="shared" ref="H22" si="2">H23+H24+H25+H26+H27</f>
        <v>44</v>
      </c>
    </row>
    <row r="23" spans="1:8" ht="15">
      <c r="A23" s="17">
        <v>193.6</v>
      </c>
      <c r="B23" s="17">
        <v>5808</v>
      </c>
      <c r="C23" s="17">
        <v>189.64516129032259</v>
      </c>
      <c r="D23" s="17">
        <v>5879</v>
      </c>
      <c r="E23" s="17">
        <v>206.7</v>
      </c>
      <c r="F23" s="17">
        <v>6201</v>
      </c>
      <c r="G23" s="19" t="s">
        <v>10</v>
      </c>
      <c r="H23" s="17">
        <v>42</v>
      </c>
    </row>
    <row r="24" spans="1:8" ht="15">
      <c r="A24" s="17">
        <v>38.43333333333333</v>
      </c>
      <c r="B24" s="17">
        <v>1153</v>
      </c>
      <c r="C24" s="17">
        <v>39.903225806451616</v>
      </c>
      <c r="D24" s="17">
        <v>1237</v>
      </c>
      <c r="E24" s="17">
        <v>40.733333333333334</v>
      </c>
      <c r="F24" s="17">
        <v>1222</v>
      </c>
      <c r="G24" s="19" t="s">
        <v>11</v>
      </c>
      <c r="H24" s="17">
        <v>1</v>
      </c>
    </row>
    <row r="25" spans="1:8" ht="15">
      <c r="A25" s="17">
        <v>26.8</v>
      </c>
      <c r="B25" s="17">
        <v>804</v>
      </c>
      <c r="C25" s="17">
        <v>27.161290322580644</v>
      </c>
      <c r="D25" s="17">
        <v>842</v>
      </c>
      <c r="E25" s="17">
        <v>31.633333333333333</v>
      </c>
      <c r="F25" s="17">
        <v>949</v>
      </c>
      <c r="G25" s="19" t="s">
        <v>12</v>
      </c>
      <c r="H25" s="17">
        <v>1</v>
      </c>
    </row>
    <row r="26" spans="1:8" ht="15">
      <c r="A26" s="17">
        <v>0.8666666666666667</v>
      </c>
      <c r="B26" s="17">
        <v>26</v>
      </c>
      <c r="C26" s="17">
        <v>0.67741935483870963</v>
      </c>
      <c r="D26" s="17">
        <v>21</v>
      </c>
      <c r="E26" s="17">
        <v>0.3</v>
      </c>
      <c r="F26" s="17">
        <v>9</v>
      </c>
      <c r="G26" s="19" t="s">
        <v>13</v>
      </c>
      <c r="H26" s="17">
        <v>0</v>
      </c>
    </row>
    <row r="27" spans="1:8" ht="15">
      <c r="A27" s="21">
        <v>2.8</v>
      </c>
      <c r="B27" s="21">
        <v>84</v>
      </c>
      <c r="C27" s="21">
        <v>3.6451612903225805</v>
      </c>
      <c r="D27" s="21">
        <v>113</v>
      </c>
      <c r="E27" s="21">
        <v>2.5666666666666669</v>
      </c>
      <c r="F27" s="21">
        <v>77</v>
      </c>
      <c r="G27" s="20" t="s">
        <v>19</v>
      </c>
      <c r="H27" s="21">
        <v>0</v>
      </c>
    </row>
    <row r="28" spans="1:8" ht="15">
      <c r="A28" s="17"/>
      <c r="B28" s="17"/>
      <c r="C28" s="17"/>
      <c r="D28" s="17"/>
      <c r="E28" s="17"/>
      <c r="F28" s="17"/>
      <c r="G28" s="18"/>
      <c r="H28" s="17"/>
    </row>
    <row r="29" spans="1:8" ht="15">
      <c r="A29" s="17">
        <v>22.033333333333335</v>
      </c>
      <c r="B29" s="17">
        <v>661</v>
      </c>
      <c r="C29" s="17">
        <v>21.258064516129032</v>
      </c>
      <c r="D29" s="17">
        <v>659</v>
      </c>
      <c r="E29" s="17">
        <v>23.366666666666667</v>
      </c>
      <c r="F29" s="17">
        <v>701</v>
      </c>
      <c r="G29" s="18" t="s">
        <v>20</v>
      </c>
      <c r="H29" s="17">
        <v>4</v>
      </c>
    </row>
    <row r="30" spans="1:8" ht="15">
      <c r="A30" s="17"/>
      <c r="B30" s="17"/>
      <c r="C30" s="17"/>
      <c r="D30" s="17"/>
      <c r="E30" s="17"/>
      <c r="F30" s="17"/>
      <c r="G30" s="18"/>
      <c r="H30" s="17"/>
    </row>
    <row r="31" spans="1:8" ht="16.5">
      <c r="A31" s="15"/>
      <c r="B31" s="15"/>
      <c r="C31" s="15"/>
      <c r="D31" s="15"/>
      <c r="E31" s="15"/>
      <c r="F31" s="15"/>
      <c r="G31" s="22" t="s">
        <v>21</v>
      </c>
      <c r="H31" s="15"/>
    </row>
    <row r="32" spans="1:8" ht="15.75">
      <c r="A32" s="15">
        <v>7779345.0696666678</v>
      </c>
      <c r="B32" s="15">
        <v>233380352.09000003</v>
      </c>
      <c r="C32" s="15">
        <v>7946354.1077419352</v>
      </c>
      <c r="D32" s="15">
        <v>246336977.34</v>
      </c>
      <c r="E32" s="15">
        <v>8792161.6670000013</v>
      </c>
      <c r="F32" s="15">
        <v>263764850.01000002</v>
      </c>
      <c r="G32" s="9" t="s">
        <v>22</v>
      </c>
      <c r="H32" s="15">
        <v>304281.51</v>
      </c>
    </row>
    <row r="33" spans="1:8" ht="15.75">
      <c r="A33" s="15">
        <v>18815569.685999997</v>
      </c>
      <c r="B33" s="15">
        <v>564467090.57999992</v>
      </c>
      <c r="C33" s="15">
        <v>18455359.695483871</v>
      </c>
      <c r="D33" s="15">
        <v>572116150.55999994</v>
      </c>
      <c r="E33" s="15">
        <v>19461735.821666669</v>
      </c>
      <c r="F33" s="15">
        <v>583852074.6500001</v>
      </c>
      <c r="G33" s="9" t="s">
        <v>23</v>
      </c>
      <c r="H33" s="15">
        <v>3253917.64</v>
      </c>
    </row>
    <row r="34" spans="1:8" ht="16.5">
      <c r="A34" s="24">
        <v>26594914.755666666</v>
      </c>
      <c r="B34" s="24">
        <v>797847442.66999996</v>
      </c>
      <c r="C34" s="24">
        <v>26401713.803225808</v>
      </c>
      <c r="D34" s="24">
        <v>818453127.89999998</v>
      </c>
      <c r="E34" s="24">
        <v>28253897.488666669</v>
      </c>
      <c r="F34" s="24">
        <v>847616924.66000009</v>
      </c>
      <c r="G34" s="23" t="s">
        <v>24</v>
      </c>
      <c r="H34" s="24">
        <f t="shared" ref="H34" si="3">H32+H33</f>
        <v>3558199.1500000004</v>
      </c>
    </row>
    <row r="35" spans="1:8" ht="15">
      <c r="A35" s="17"/>
      <c r="B35" s="17"/>
      <c r="C35" s="17"/>
      <c r="D35" s="17"/>
      <c r="E35" s="17"/>
      <c r="F35" s="17"/>
      <c r="G35" s="25"/>
      <c r="H35" s="17"/>
    </row>
    <row r="36" spans="1:8" ht="16.5">
      <c r="A36" s="17"/>
      <c r="B36" s="17"/>
      <c r="C36" s="17"/>
      <c r="D36" s="17"/>
      <c r="E36" s="17"/>
      <c r="F36" s="17"/>
      <c r="G36" s="22" t="s">
        <v>21</v>
      </c>
      <c r="H36" s="17"/>
    </row>
    <row r="37" spans="1:8" ht="15">
      <c r="A37" s="17">
        <v>25148845.672000002</v>
      </c>
      <c r="B37" s="17">
        <v>754465370.16000009</v>
      </c>
      <c r="C37" s="17">
        <v>24937813.347096771</v>
      </c>
      <c r="D37" s="17">
        <v>773072213.75999999</v>
      </c>
      <c r="E37" s="17">
        <v>27316637.163666669</v>
      </c>
      <c r="F37" s="17">
        <v>819499114.91000009</v>
      </c>
      <c r="G37" s="16" t="s">
        <v>25</v>
      </c>
      <c r="H37" s="17">
        <v>3548908.15</v>
      </c>
    </row>
    <row r="38" spans="1:8" ht="15">
      <c r="A38" s="17">
        <v>1446069.0843333332</v>
      </c>
      <c r="B38" s="17">
        <v>43382072.529999994</v>
      </c>
      <c r="C38" s="17">
        <v>1463900.4564516128</v>
      </c>
      <c r="D38" s="17">
        <v>45380914.149999999</v>
      </c>
      <c r="E38" s="17">
        <v>937260.32499999995</v>
      </c>
      <c r="F38" s="17">
        <v>28117809.75</v>
      </c>
      <c r="G38" s="16" t="s">
        <v>26</v>
      </c>
      <c r="H38" s="17">
        <v>9291</v>
      </c>
    </row>
    <row r="39" spans="1:8" ht="16.5">
      <c r="A39" s="24">
        <v>26594914.756333336</v>
      </c>
      <c r="B39" s="24">
        <v>797847442.69000006</v>
      </c>
      <c r="C39" s="24">
        <v>26401713.803548384</v>
      </c>
      <c r="D39" s="24">
        <v>818453127.90999997</v>
      </c>
      <c r="E39" s="24">
        <v>28253897.488666669</v>
      </c>
      <c r="F39" s="24">
        <v>847616924.66000009</v>
      </c>
      <c r="G39" s="23" t="s">
        <v>24</v>
      </c>
      <c r="H39" s="24">
        <f t="shared" ref="H39" si="4">SUM(H37:H38)</f>
        <v>3558199.15</v>
      </c>
    </row>
    <row r="40" spans="1:8" ht="15">
      <c r="A40" s="17"/>
      <c r="B40" s="17"/>
      <c r="C40" s="17"/>
      <c r="D40" s="17"/>
      <c r="E40" s="17"/>
      <c r="F40" s="17"/>
      <c r="G40" s="25"/>
      <c r="H40" s="17"/>
    </row>
    <row r="41" spans="1:8" ht="16.5">
      <c r="A41" s="17"/>
      <c r="B41" s="17"/>
      <c r="C41" s="17"/>
      <c r="D41" s="17"/>
      <c r="E41" s="17"/>
      <c r="F41" s="17"/>
      <c r="G41" s="22" t="s">
        <v>21</v>
      </c>
      <c r="H41" s="17"/>
    </row>
    <row r="42" spans="1:8" ht="16.5">
      <c r="A42" s="17"/>
      <c r="B42" s="17"/>
      <c r="C42" s="17"/>
      <c r="D42" s="17"/>
      <c r="E42" s="17"/>
      <c r="F42" s="17"/>
      <c r="G42" s="22"/>
      <c r="H42" s="17"/>
    </row>
    <row r="43" spans="1:8" ht="18">
      <c r="A43" s="15"/>
      <c r="B43" s="15"/>
      <c r="C43" s="15"/>
      <c r="D43" s="15"/>
      <c r="E43" s="15"/>
      <c r="F43" s="15"/>
      <c r="G43" s="26" t="s">
        <v>27</v>
      </c>
      <c r="H43" s="15"/>
    </row>
    <row r="44" spans="1:8" ht="15.75">
      <c r="A44" s="15">
        <v>15356913.085000003</v>
      </c>
      <c r="B44" s="15">
        <v>460707392.55000007</v>
      </c>
      <c r="C44" s="15">
        <v>14745637.771290321</v>
      </c>
      <c r="D44" s="15">
        <v>457114770.90999997</v>
      </c>
      <c r="E44" s="15">
        <v>16356440.978333334</v>
      </c>
      <c r="F44" s="15">
        <v>490693229.35000002</v>
      </c>
      <c r="G44" s="9" t="s">
        <v>25</v>
      </c>
      <c r="H44" s="15">
        <v>2204757.46</v>
      </c>
    </row>
    <row r="45" spans="1:8" ht="15.75">
      <c r="A45" s="15">
        <v>312972.73099999991</v>
      </c>
      <c r="B45" s="15">
        <v>9389181.9299999978</v>
      </c>
      <c r="C45" s="15">
        <v>479109.62870967743</v>
      </c>
      <c r="D45" s="15">
        <v>14852398.49</v>
      </c>
      <c r="E45" s="15">
        <v>396202.71733333333</v>
      </c>
      <c r="F45" s="15">
        <v>11886081.52</v>
      </c>
      <c r="G45" s="9" t="s">
        <v>26</v>
      </c>
      <c r="H45" s="15">
        <v>9291</v>
      </c>
    </row>
    <row r="46" spans="1:8" ht="15">
      <c r="A46" s="15"/>
      <c r="B46" s="15"/>
      <c r="C46" s="15"/>
      <c r="D46" s="15"/>
      <c r="E46" s="15"/>
      <c r="F46" s="15"/>
      <c r="G46" s="16"/>
      <c r="H46" s="15"/>
    </row>
    <row r="47" spans="1:8" ht="18">
      <c r="A47" s="15"/>
      <c r="B47" s="15"/>
      <c r="C47" s="15"/>
      <c r="D47" s="15"/>
      <c r="E47" s="15"/>
      <c r="F47" s="15"/>
      <c r="G47" s="26" t="s">
        <v>28</v>
      </c>
      <c r="H47" s="15"/>
    </row>
    <row r="48" spans="1:8" ht="15.75">
      <c r="A48" s="15">
        <v>9791932.5869999994</v>
      </c>
      <c r="B48" s="15">
        <v>293757977.61000001</v>
      </c>
      <c r="C48" s="15">
        <v>10192175.57580645</v>
      </c>
      <c r="D48" s="15">
        <v>315957442.84999996</v>
      </c>
      <c r="E48" s="15">
        <v>10960186.185333334</v>
      </c>
      <c r="F48" s="15">
        <v>328805585.56</v>
      </c>
      <c r="G48" s="9" t="s">
        <v>25</v>
      </c>
      <c r="H48" s="15">
        <f t="shared" ref="H48" si="5">H49+H50+H51+H52</f>
        <v>1344150.69</v>
      </c>
    </row>
    <row r="49" spans="1:8" ht="15">
      <c r="A49" s="17">
        <v>2956538.4573333329</v>
      </c>
      <c r="B49" s="17">
        <v>88696153.719999984</v>
      </c>
      <c r="C49" s="17">
        <v>2837884.3412903226</v>
      </c>
      <c r="D49" s="17">
        <v>87974414.579999998</v>
      </c>
      <c r="E49" s="17">
        <v>3193959.7213333328</v>
      </c>
      <c r="F49" s="17">
        <v>95818791.639999986</v>
      </c>
      <c r="G49" s="16" t="s">
        <v>29</v>
      </c>
      <c r="H49" s="17">
        <v>1091159.9099999999</v>
      </c>
    </row>
    <row r="50" spans="1:8" ht="15">
      <c r="A50" s="17">
        <v>114988.73699999999</v>
      </c>
      <c r="B50" s="17">
        <v>3449662.11</v>
      </c>
      <c r="C50" s="17">
        <v>115145.89548387098</v>
      </c>
      <c r="D50" s="17">
        <v>3569522.7600000002</v>
      </c>
      <c r="E50" s="17">
        <v>64290.700333333334</v>
      </c>
      <c r="F50" s="17">
        <v>1928721.01</v>
      </c>
      <c r="G50" s="16" t="s">
        <v>30</v>
      </c>
      <c r="H50" s="17">
        <v>0</v>
      </c>
    </row>
    <row r="51" spans="1:8" ht="15">
      <c r="A51" s="17">
        <v>5792975.1653333334</v>
      </c>
      <c r="B51" s="17">
        <v>173789254.96000001</v>
      </c>
      <c r="C51" s="17">
        <v>6153580.188387095</v>
      </c>
      <c r="D51" s="17">
        <v>190760985.83999994</v>
      </c>
      <c r="E51" s="17">
        <v>6843860.5746666668</v>
      </c>
      <c r="F51" s="17">
        <v>205315817.24000001</v>
      </c>
      <c r="G51" s="16" t="s">
        <v>31</v>
      </c>
      <c r="H51" s="17">
        <v>252990.78</v>
      </c>
    </row>
    <row r="52" spans="1:8" ht="15">
      <c r="A52" s="17">
        <v>927430.22733333323</v>
      </c>
      <c r="B52" s="17">
        <v>27822906.819999997</v>
      </c>
      <c r="C52" s="17">
        <v>1085565.150645161</v>
      </c>
      <c r="D52" s="17">
        <v>33652519.669999994</v>
      </c>
      <c r="E52" s="17">
        <v>858075.18900000001</v>
      </c>
      <c r="F52" s="17">
        <v>25742255.670000002</v>
      </c>
      <c r="G52" s="16" t="s">
        <v>32</v>
      </c>
      <c r="H52" s="17"/>
    </row>
    <row r="53" spans="1:8" ht="15">
      <c r="A53" s="17"/>
      <c r="B53" s="17"/>
      <c r="C53" s="17"/>
      <c r="D53" s="17"/>
      <c r="E53" s="17"/>
      <c r="F53" s="17"/>
      <c r="G53" s="16"/>
      <c r="H53" s="17"/>
    </row>
    <row r="54" spans="1:8" ht="15.75">
      <c r="A54" s="15">
        <v>1133096.3533333333</v>
      </c>
      <c r="B54" s="15">
        <v>33992890.599999994</v>
      </c>
      <c r="C54" s="15">
        <v>984790.82774193527</v>
      </c>
      <c r="D54" s="15">
        <v>30528515.659999996</v>
      </c>
      <c r="E54" s="15">
        <v>541067.60666666657</v>
      </c>
      <c r="F54" s="15">
        <v>16232028.199999997</v>
      </c>
      <c r="G54" s="9" t="s">
        <v>26</v>
      </c>
      <c r="H54" s="15">
        <v>0</v>
      </c>
    </row>
    <row r="55" spans="1:8" ht="15">
      <c r="A55" s="17">
        <v>1041864.0303333332</v>
      </c>
      <c r="B55" s="17">
        <v>31255920.909999996</v>
      </c>
      <c r="C55" s="17">
        <v>707343.24677419337</v>
      </c>
      <c r="D55" s="17">
        <v>21927640.649999995</v>
      </c>
      <c r="E55" s="17">
        <v>405154.02133333322</v>
      </c>
      <c r="F55" s="17">
        <v>12154620.639999997</v>
      </c>
      <c r="G55" s="16" t="s">
        <v>33</v>
      </c>
      <c r="H55" s="17">
        <v>0</v>
      </c>
    </row>
    <row r="56" spans="1:8" ht="15">
      <c r="A56" s="17">
        <v>91232.323000000004</v>
      </c>
      <c r="B56" s="17">
        <v>2736969.69</v>
      </c>
      <c r="C56" s="17">
        <v>277447.5809677419</v>
      </c>
      <c r="D56" s="17">
        <v>8600875.0099999998</v>
      </c>
      <c r="E56" s="17">
        <v>135913.58533333332</v>
      </c>
      <c r="F56" s="17">
        <v>4077407.56</v>
      </c>
      <c r="G56" s="16" t="s">
        <v>32</v>
      </c>
      <c r="H56" s="17"/>
    </row>
    <row r="57" spans="1:8" ht="16.5">
      <c r="A57" s="24">
        <v>26594914.756333336</v>
      </c>
      <c r="B57" s="24">
        <v>797847442.69000018</v>
      </c>
      <c r="C57" s="24">
        <v>26401713.803548384</v>
      </c>
      <c r="D57" s="24">
        <v>818453127.90999997</v>
      </c>
      <c r="E57" s="24">
        <v>28253897.48766667</v>
      </c>
      <c r="F57" s="24">
        <v>847616924.63000011</v>
      </c>
      <c r="G57" s="23" t="s">
        <v>24</v>
      </c>
      <c r="H57" s="24">
        <f t="shared" ref="H57" si="6">+H44+H45+H48+H54</f>
        <v>3558199.15</v>
      </c>
    </row>
    <row r="58" spans="1:8" ht="15">
      <c r="A58" s="15"/>
      <c r="B58" s="15"/>
      <c r="C58" s="15"/>
      <c r="D58" s="15"/>
      <c r="E58" s="15"/>
      <c r="F58" s="15"/>
      <c r="G58" s="25"/>
      <c r="H58" s="15"/>
    </row>
    <row r="59" spans="1:8" ht="19.5">
      <c r="A59" s="31"/>
      <c r="B59" s="31"/>
      <c r="C59" s="31"/>
      <c r="D59" s="31"/>
      <c r="E59" s="31"/>
      <c r="F59" s="31"/>
      <c r="G59" s="25"/>
      <c r="H59" s="31"/>
    </row>
    <row r="60" spans="1:8" ht="16.5">
      <c r="A60" s="28">
        <v>8167677.291333341</v>
      </c>
      <c r="B60" s="28">
        <v>245030318.74000022</v>
      </c>
      <c r="C60" s="28">
        <v>8148915.1151612997</v>
      </c>
      <c r="D60" s="28">
        <v>252616368.57000029</v>
      </c>
      <c r="E60" s="28">
        <v>8480982.3639999963</v>
      </c>
      <c r="F60" s="28">
        <v>254429470.91999987</v>
      </c>
      <c r="G60" s="27" t="s">
        <v>34</v>
      </c>
      <c r="H60" s="28">
        <v>2841146.7400000095</v>
      </c>
    </row>
    <row r="61" spans="1:8" ht="16.5">
      <c r="A61" s="15"/>
      <c r="B61" s="15"/>
      <c r="C61" s="15"/>
      <c r="D61" s="15"/>
      <c r="E61" s="15"/>
      <c r="F61" s="15"/>
      <c r="G61" s="22"/>
      <c r="H61" s="15"/>
    </row>
    <row r="62" spans="1:8" ht="15">
      <c r="A62" s="17"/>
      <c r="B62" s="17"/>
      <c r="C62" s="17"/>
      <c r="D62" s="17"/>
      <c r="E62" s="17"/>
      <c r="F62" s="17"/>
      <c r="G62" s="25"/>
      <c r="H62" s="17"/>
    </row>
    <row r="63" spans="1:8" ht="16.5">
      <c r="A63" s="24">
        <v>18427237.464999996</v>
      </c>
      <c r="B63" s="24">
        <v>552817123.94999993</v>
      </c>
      <c r="C63" s="24">
        <v>18252798.688387085</v>
      </c>
      <c r="D63" s="24">
        <v>565836759.33999968</v>
      </c>
      <c r="E63" s="24">
        <v>19772915.123666678</v>
      </c>
      <c r="F63" s="24">
        <v>593187453.71000028</v>
      </c>
      <c r="G63" s="23" t="s">
        <v>35</v>
      </c>
      <c r="H63" s="24">
        <f t="shared" ref="H63" si="7">+H57-H60</f>
        <v>717052.40999999037</v>
      </c>
    </row>
    <row r="64" spans="1:8" ht="15">
      <c r="A64" s="17"/>
      <c r="B64" s="17"/>
      <c r="C64" s="17"/>
      <c r="D64" s="17"/>
      <c r="E64" s="17"/>
      <c r="F64" s="17"/>
      <c r="G64" s="25"/>
      <c r="H64" s="17"/>
    </row>
    <row r="65" spans="1:8" ht="15">
      <c r="A65" s="17"/>
      <c r="B65" s="17"/>
      <c r="C65" s="17"/>
      <c r="D65" s="17"/>
      <c r="E65" s="17"/>
      <c r="F65" s="17"/>
      <c r="G65" s="25"/>
      <c r="H65" s="17"/>
    </row>
    <row r="66" spans="1:8" ht="16.5">
      <c r="A66" s="15"/>
      <c r="B66" s="15"/>
      <c r="C66" s="15"/>
      <c r="D66" s="15"/>
      <c r="E66" s="15"/>
      <c r="F66" s="15"/>
      <c r="G66" s="22" t="s">
        <v>36</v>
      </c>
      <c r="H66" s="15"/>
    </row>
    <row r="67" spans="1:8" ht="15">
      <c r="A67" s="17">
        <v>5910105.9333399972</v>
      </c>
      <c r="B67" s="17">
        <v>177303178.00019991</v>
      </c>
      <c r="C67" s="17">
        <v>5866329.9354838692</v>
      </c>
      <c r="D67" s="17">
        <v>181856227.99999994</v>
      </c>
      <c r="E67" s="17">
        <v>5787811.3000699989</v>
      </c>
      <c r="F67" s="17">
        <v>173634339.00209996</v>
      </c>
      <c r="G67" s="16" t="s">
        <v>37</v>
      </c>
      <c r="H67" s="17">
        <v>5882526</v>
      </c>
    </row>
    <row r="68" spans="1:8" ht="15">
      <c r="A68" s="17">
        <v>11196551.166666666</v>
      </c>
      <c r="B68" s="17">
        <v>335896535</v>
      </c>
      <c r="C68" s="17">
        <v>10592793.677419355</v>
      </c>
      <c r="D68" s="17">
        <v>328376604</v>
      </c>
      <c r="E68" s="17">
        <v>10760387.4</v>
      </c>
      <c r="F68" s="17">
        <v>322811622</v>
      </c>
      <c r="G68" s="16" t="s">
        <v>38</v>
      </c>
      <c r="H68" s="17">
        <v>5747071</v>
      </c>
    </row>
    <row r="69" spans="1:8" ht="15">
      <c r="A69" s="17">
        <v>14119849.986333333</v>
      </c>
      <c r="B69" s="17">
        <v>423595499.58999997</v>
      </c>
      <c r="C69" s="17">
        <v>12954746.589999998</v>
      </c>
      <c r="D69" s="17">
        <v>402540199.28999996</v>
      </c>
      <c r="E69" s="17">
        <v>18774984.126666665</v>
      </c>
      <c r="F69" s="17">
        <v>563249523.79999995</v>
      </c>
      <c r="G69" s="16" t="s">
        <v>39</v>
      </c>
      <c r="H69" s="17">
        <v>2341159</v>
      </c>
    </row>
    <row r="70" spans="1:8" ht="15">
      <c r="A70" s="17">
        <v>0</v>
      </c>
      <c r="B70" s="17">
        <v>0</v>
      </c>
      <c r="C70" s="17">
        <v>577.29032258064512</v>
      </c>
      <c r="D70" s="17">
        <v>17896</v>
      </c>
      <c r="E70" s="17">
        <v>400494.33333333331</v>
      </c>
      <c r="F70" s="17">
        <v>12014830</v>
      </c>
      <c r="G70" s="16" t="s">
        <v>40</v>
      </c>
      <c r="H70" s="17">
        <v>0</v>
      </c>
    </row>
    <row r="71" spans="1:8" ht="15">
      <c r="A71" s="17">
        <v>58626.23333333333</v>
      </c>
      <c r="B71" s="17">
        <v>1758787</v>
      </c>
      <c r="C71" s="17">
        <v>33986.806451612902</v>
      </c>
      <c r="D71" s="17">
        <v>1053591</v>
      </c>
      <c r="E71" s="17">
        <v>222898.26666666666</v>
      </c>
      <c r="F71" s="17">
        <v>6686948</v>
      </c>
      <c r="G71" s="29" t="s">
        <v>41</v>
      </c>
      <c r="H71" s="17">
        <v>44652</v>
      </c>
    </row>
    <row r="72" spans="1:8" ht="15">
      <c r="A72" s="17">
        <v>1888063.8</v>
      </c>
      <c r="B72" s="17">
        <v>56641914</v>
      </c>
      <c r="C72" s="17">
        <v>2239699.4954838711</v>
      </c>
      <c r="D72" s="17">
        <v>69430684.359999999</v>
      </c>
      <c r="E72" s="17">
        <v>1608721.9666666666</v>
      </c>
      <c r="F72" s="17">
        <v>48261659</v>
      </c>
      <c r="G72" s="29" t="s">
        <v>42</v>
      </c>
      <c r="H72" s="17">
        <v>0</v>
      </c>
    </row>
    <row r="73" spans="1:8" ht="17.25" thickBot="1">
      <c r="A73" s="24">
        <v>29279817.053006701</v>
      </c>
      <c r="B73" s="24">
        <v>878394511.59019995</v>
      </c>
      <c r="C73" s="24">
        <v>27140761.191290319</v>
      </c>
      <c r="D73" s="24">
        <v>842306651.92999995</v>
      </c>
      <c r="E73" s="24">
        <v>33892056.926736668</v>
      </c>
      <c r="F73" s="24">
        <v>1016761707.8020999</v>
      </c>
      <c r="G73" s="30" t="s">
        <v>43</v>
      </c>
      <c r="H73" s="24">
        <f t="shared" ref="H73" si="8">H67+H68+H69+H70-H71-H72</f>
        <v>13926104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opLeftCell="A35" workbookViewId="0">
      <selection sqref="A1:J73"/>
    </sheetView>
  </sheetViews>
  <sheetFormatPr defaultRowHeight="14.25"/>
  <cols>
    <col min="1" max="1" width="17.75" customWidth="1"/>
    <col min="2" max="2" width="18.125" customWidth="1"/>
    <col min="3" max="3" width="17.625" customWidth="1"/>
    <col min="4" max="4" width="18.75" customWidth="1"/>
    <col min="5" max="5" width="16.625" customWidth="1"/>
    <col min="6" max="6" width="15.625" customWidth="1"/>
    <col min="7" max="7" width="39.375" customWidth="1"/>
    <col min="8" max="8" width="14.875" customWidth="1"/>
    <col min="9" max="9" width="15.25" customWidth="1"/>
    <col min="10" max="10" width="14.25" customWidth="1"/>
  </cols>
  <sheetData>
    <row r="1" spans="1:10" ht="30.75" thickBot="1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95</v>
      </c>
      <c r="G1" s="3" t="s">
        <v>1</v>
      </c>
      <c r="H1" s="4" t="s">
        <v>88</v>
      </c>
      <c r="I1" s="4" t="s">
        <v>89</v>
      </c>
      <c r="J1" s="4" t="s">
        <v>97</v>
      </c>
    </row>
    <row r="2" spans="1:10" ht="15.75">
      <c r="A2" s="6"/>
      <c r="B2" s="6"/>
      <c r="C2" s="6"/>
      <c r="D2" s="6"/>
      <c r="E2" s="6"/>
      <c r="F2" s="6"/>
      <c r="G2" s="5"/>
      <c r="H2" s="6"/>
      <c r="I2" s="6"/>
      <c r="J2" s="6"/>
    </row>
    <row r="3" spans="1:10" ht="16.5">
      <c r="A3" s="8"/>
      <c r="B3" s="8"/>
      <c r="C3" s="8"/>
      <c r="D3" s="8"/>
      <c r="E3" s="8"/>
      <c r="F3" s="8"/>
      <c r="G3" s="7" t="s">
        <v>2</v>
      </c>
      <c r="H3" s="8"/>
      <c r="I3" s="8"/>
      <c r="J3" s="8"/>
    </row>
    <row r="4" spans="1:10" ht="15.75">
      <c r="A4" s="8">
        <v>1000</v>
      </c>
      <c r="B4" s="8">
        <v>1000</v>
      </c>
      <c r="C4" s="8">
        <v>1000</v>
      </c>
      <c r="D4" s="8">
        <v>1000</v>
      </c>
      <c r="E4" s="8">
        <v>1000</v>
      </c>
      <c r="F4" s="8">
        <v>30000</v>
      </c>
      <c r="G4" s="9" t="s">
        <v>3</v>
      </c>
      <c r="H4" s="8">
        <v>7000</v>
      </c>
      <c r="I4" s="8">
        <v>1000</v>
      </c>
      <c r="J4" s="8">
        <v>1000</v>
      </c>
    </row>
    <row r="5" spans="1:10" ht="15.75">
      <c r="A5" s="32">
        <v>930.33333333333337</v>
      </c>
      <c r="B5" s="32">
        <v>930.33333333333337</v>
      </c>
      <c r="C5" s="33">
        <v>967</v>
      </c>
      <c r="D5" s="33">
        <v>967</v>
      </c>
      <c r="E5" s="33">
        <v>983.5</v>
      </c>
      <c r="F5" s="8">
        <v>29505</v>
      </c>
      <c r="G5" s="9" t="s">
        <v>4</v>
      </c>
      <c r="H5" s="8">
        <v>6557</v>
      </c>
      <c r="I5" s="33">
        <v>936.71428571428567</v>
      </c>
      <c r="J5" s="8">
        <v>994</v>
      </c>
    </row>
    <row r="6" spans="1:10" ht="16.5">
      <c r="A6" s="11">
        <v>0.93033333333333335</v>
      </c>
      <c r="B6" s="11">
        <v>0.93033333333333335</v>
      </c>
      <c r="C6" s="11">
        <v>0.96699999999999997</v>
      </c>
      <c r="D6" s="11">
        <v>0.96699999999999997</v>
      </c>
      <c r="E6" s="11">
        <v>0.98350000000000004</v>
      </c>
      <c r="F6" s="11">
        <v>0.98350000000000004</v>
      </c>
      <c r="G6" s="10" t="s">
        <v>5</v>
      </c>
      <c r="H6" s="11">
        <v>0.93671428571428572</v>
      </c>
      <c r="I6" s="11">
        <v>0.93671428571428561</v>
      </c>
      <c r="J6" s="11">
        <v>0.99399999999999999</v>
      </c>
    </row>
    <row r="7" spans="1:10" ht="15">
      <c r="A7" s="32"/>
      <c r="B7" s="32"/>
      <c r="C7" s="32"/>
      <c r="D7" s="32"/>
      <c r="E7" s="32"/>
      <c r="F7" s="32"/>
      <c r="G7" s="12"/>
      <c r="H7" s="32"/>
      <c r="I7" s="32"/>
      <c r="J7" s="32"/>
    </row>
    <row r="8" spans="1:10" ht="16.5">
      <c r="A8" s="32"/>
      <c r="B8" s="32"/>
      <c r="C8" s="32"/>
      <c r="D8" s="32"/>
      <c r="E8" s="32"/>
      <c r="F8" s="32"/>
      <c r="G8" s="13" t="s">
        <v>6</v>
      </c>
      <c r="H8" s="32"/>
      <c r="I8" s="32"/>
      <c r="J8" s="32"/>
    </row>
    <row r="9" spans="1:10" ht="15.75">
      <c r="A9" s="15">
        <v>345.4</v>
      </c>
      <c r="B9" s="15">
        <v>10362</v>
      </c>
      <c r="C9" s="15">
        <v>356.48387096774195</v>
      </c>
      <c r="D9" s="15">
        <v>11051</v>
      </c>
      <c r="E9" s="15">
        <v>386.16666666666669</v>
      </c>
      <c r="F9" s="15">
        <v>11585</v>
      </c>
      <c r="G9" s="14" t="s">
        <v>7</v>
      </c>
      <c r="H9" s="15">
        <v>2730</v>
      </c>
      <c r="I9" s="15">
        <v>390</v>
      </c>
      <c r="J9" s="15">
        <v>465</v>
      </c>
    </row>
    <row r="10" spans="1:10" ht="15.75">
      <c r="A10" s="15">
        <v>3003.3666666666668</v>
      </c>
      <c r="B10" s="15">
        <v>90101</v>
      </c>
      <c r="C10" s="15">
        <v>3099.8064516129034</v>
      </c>
      <c r="D10" s="15">
        <v>96094</v>
      </c>
      <c r="E10" s="15">
        <v>3273.0333333333333</v>
      </c>
      <c r="F10" s="15">
        <v>98191</v>
      </c>
      <c r="G10" s="14" t="s">
        <v>8</v>
      </c>
      <c r="H10" s="15">
        <v>23589</v>
      </c>
      <c r="I10" s="15">
        <v>3369.8571428571427</v>
      </c>
      <c r="J10" s="15">
        <v>4020</v>
      </c>
    </row>
    <row r="11" spans="1:10" ht="15.75">
      <c r="A11" s="15">
        <v>260.26666666666665</v>
      </c>
      <c r="B11" s="15">
        <v>7808</v>
      </c>
      <c r="C11" s="15">
        <v>260.51612903225799</v>
      </c>
      <c r="D11" s="15">
        <v>8076</v>
      </c>
      <c r="E11" s="15">
        <v>283.83333333333331</v>
      </c>
      <c r="F11" s="15">
        <v>8515</v>
      </c>
      <c r="G11" s="14" t="s">
        <v>9</v>
      </c>
      <c r="H11" s="15">
        <v>1933</v>
      </c>
      <c r="I11" s="15">
        <v>276.14285714285717</v>
      </c>
      <c r="J11" s="15">
        <v>336</v>
      </c>
    </row>
    <row r="12" spans="1:10" ht="15">
      <c r="A12" s="17">
        <v>200.76666666666668</v>
      </c>
      <c r="B12" s="17">
        <v>6023</v>
      </c>
      <c r="C12" s="17">
        <v>194.45161290322579</v>
      </c>
      <c r="D12" s="17">
        <v>6028</v>
      </c>
      <c r="E12" s="17">
        <v>211.73333333333332</v>
      </c>
      <c r="F12" s="17">
        <v>6352</v>
      </c>
      <c r="G12" s="16" t="s">
        <v>10</v>
      </c>
      <c r="H12" s="17">
        <v>1454</v>
      </c>
      <c r="I12" s="17">
        <v>207.71428571428572</v>
      </c>
      <c r="J12" s="17">
        <v>241</v>
      </c>
    </row>
    <row r="13" spans="1:10" ht="15">
      <c r="A13" s="17">
        <v>30.2</v>
      </c>
      <c r="B13" s="17">
        <v>906</v>
      </c>
      <c r="C13" s="17">
        <v>35.58064516129032</v>
      </c>
      <c r="D13" s="17">
        <v>1103</v>
      </c>
      <c r="E13" s="17">
        <v>37.5</v>
      </c>
      <c r="F13" s="17">
        <v>1125</v>
      </c>
      <c r="G13" s="16" t="s">
        <v>11</v>
      </c>
      <c r="H13" s="17">
        <v>252</v>
      </c>
      <c r="I13" s="17">
        <v>36</v>
      </c>
      <c r="J13" s="17">
        <v>51</v>
      </c>
    </row>
    <row r="14" spans="1:10" ht="15">
      <c r="A14" s="17">
        <v>25.866666666666667</v>
      </c>
      <c r="B14" s="17">
        <v>776</v>
      </c>
      <c r="C14" s="17">
        <v>27</v>
      </c>
      <c r="D14" s="17">
        <v>837</v>
      </c>
      <c r="E14" s="17">
        <v>31.4</v>
      </c>
      <c r="F14" s="17">
        <v>942</v>
      </c>
      <c r="G14" s="16" t="s">
        <v>12</v>
      </c>
      <c r="H14" s="17">
        <v>205</v>
      </c>
      <c r="I14" s="17">
        <v>29.285714285714285</v>
      </c>
      <c r="J14" s="17">
        <v>42</v>
      </c>
    </row>
    <row r="15" spans="1:10" ht="15">
      <c r="A15" s="17">
        <v>0.76666666666666672</v>
      </c>
      <c r="B15" s="17">
        <v>23</v>
      </c>
      <c r="C15" s="17">
        <v>0.83870967741935487</v>
      </c>
      <c r="D15" s="17">
        <v>26</v>
      </c>
      <c r="E15" s="17">
        <v>0.33333333333333331</v>
      </c>
      <c r="F15" s="17">
        <v>10</v>
      </c>
      <c r="G15" s="16" t="s">
        <v>13</v>
      </c>
      <c r="H15" s="17">
        <v>2</v>
      </c>
      <c r="I15" s="17">
        <v>0.2857142857142857</v>
      </c>
      <c r="J15" s="17">
        <v>0</v>
      </c>
    </row>
    <row r="16" spans="1:10" ht="15">
      <c r="A16" s="17">
        <v>2.6666666666666665</v>
      </c>
      <c r="B16" s="17">
        <v>80</v>
      </c>
      <c r="C16" s="17">
        <v>2.6451612903225805</v>
      </c>
      <c r="D16" s="17">
        <v>82</v>
      </c>
      <c r="E16" s="17">
        <v>2.8666666666666667</v>
      </c>
      <c r="F16" s="17">
        <v>86</v>
      </c>
      <c r="G16" s="16" t="s">
        <v>14</v>
      </c>
      <c r="H16" s="17">
        <v>20</v>
      </c>
      <c r="I16" s="17">
        <v>2.8571428571428572</v>
      </c>
      <c r="J16" s="17">
        <v>2</v>
      </c>
    </row>
    <row r="17" spans="1:10" ht="15">
      <c r="A17" s="17"/>
      <c r="B17" s="17"/>
      <c r="C17" s="17"/>
      <c r="D17" s="17"/>
      <c r="E17" s="17"/>
      <c r="F17" s="17"/>
      <c r="G17" s="18"/>
      <c r="H17" s="17"/>
      <c r="I17" s="17">
        <v>0</v>
      </c>
      <c r="J17" s="17"/>
    </row>
    <row r="18" spans="1:10" ht="15">
      <c r="A18" s="17">
        <v>44.366666666666667</v>
      </c>
      <c r="B18" s="17">
        <v>1331</v>
      </c>
      <c r="C18" s="17">
        <v>44.58064516129032</v>
      </c>
      <c r="D18" s="17">
        <v>1382</v>
      </c>
      <c r="E18" s="17">
        <v>48.06666666666667</v>
      </c>
      <c r="F18" s="17">
        <v>1442</v>
      </c>
      <c r="G18" s="18" t="s">
        <v>15</v>
      </c>
      <c r="H18" s="17">
        <v>336</v>
      </c>
      <c r="I18" s="17">
        <v>48</v>
      </c>
      <c r="J18" s="17">
        <v>60</v>
      </c>
    </row>
    <row r="19" spans="1:10" ht="15">
      <c r="A19" s="17">
        <v>74.7</v>
      </c>
      <c r="B19" s="17">
        <v>2241</v>
      </c>
      <c r="C19" s="17">
        <v>80.064516129032256</v>
      </c>
      <c r="D19" s="17">
        <v>2482</v>
      </c>
      <c r="E19" s="17">
        <v>82.7</v>
      </c>
      <c r="F19" s="17">
        <v>2481</v>
      </c>
      <c r="G19" s="18" t="s">
        <v>16</v>
      </c>
      <c r="H19" s="17">
        <v>499</v>
      </c>
      <c r="I19" s="17">
        <v>71.285714285714292</v>
      </c>
      <c r="J19" s="17">
        <v>87</v>
      </c>
    </row>
    <row r="20" spans="1:10" ht="15">
      <c r="A20" s="17">
        <v>129.36666666666667</v>
      </c>
      <c r="B20" s="17">
        <v>3881</v>
      </c>
      <c r="C20" s="17">
        <v>124.6774193548387</v>
      </c>
      <c r="D20" s="17">
        <v>3865</v>
      </c>
      <c r="E20" s="17">
        <v>143.13333333333333</v>
      </c>
      <c r="F20" s="17">
        <v>4294</v>
      </c>
      <c r="G20" s="18" t="s">
        <v>17</v>
      </c>
      <c r="H20" s="17">
        <v>1036</v>
      </c>
      <c r="I20" s="17">
        <v>148</v>
      </c>
      <c r="J20" s="17">
        <v>173</v>
      </c>
    </row>
    <row r="21" spans="1:10" ht="15">
      <c r="A21" s="17"/>
      <c r="B21" s="17"/>
      <c r="C21" s="17"/>
      <c r="D21" s="17"/>
      <c r="E21" s="17"/>
      <c r="F21" s="17"/>
      <c r="G21" s="18"/>
      <c r="H21" s="17"/>
      <c r="I21" s="17">
        <v>0</v>
      </c>
      <c r="J21" s="17"/>
    </row>
    <row r="22" spans="1:10" ht="15.75">
      <c r="A22" s="15">
        <v>262.5</v>
      </c>
      <c r="B22" s="15">
        <v>7875</v>
      </c>
      <c r="C22" s="15">
        <v>261.03225806451616</v>
      </c>
      <c r="D22" s="15">
        <v>8092</v>
      </c>
      <c r="E22" s="15">
        <v>281.93333333333334</v>
      </c>
      <c r="F22" s="15">
        <v>8458</v>
      </c>
      <c r="G22" s="14" t="s">
        <v>18</v>
      </c>
      <c r="H22" s="15">
        <v>1932</v>
      </c>
      <c r="I22" s="15">
        <v>276</v>
      </c>
      <c r="J22" s="15">
        <v>296</v>
      </c>
    </row>
    <row r="23" spans="1:10" ht="15">
      <c r="A23" s="17">
        <v>193.6</v>
      </c>
      <c r="B23" s="17">
        <v>5808</v>
      </c>
      <c r="C23" s="17">
        <v>189.64516129032259</v>
      </c>
      <c r="D23" s="17">
        <v>5879</v>
      </c>
      <c r="E23" s="17">
        <v>206.7</v>
      </c>
      <c r="F23" s="17">
        <v>6201</v>
      </c>
      <c r="G23" s="19" t="s">
        <v>10</v>
      </c>
      <c r="H23" s="17">
        <v>1443</v>
      </c>
      <c r="I23" s="17">
        <v>206.14285714285714</v>
      </c>
      <c r="J23" s="17">
        <v>229</v>
      </c>
    </row>
    <row r="24" spans="1:10" ht="15">
      <c r="A24" s="17">
        <v>38.43333333333333</v>
      </c>
      <c r="B24" s="17">
        <v>1153</v>
      </c>
      <c r="C24" s="17">
        <v>39.903225806451616</v>
      </c>
      <c r="D24" s="17">
        <v>1237</v>
      </c>
      <c r="E24" s="17">
        <v>40.733333333333334</v>
      </c>
      <c r="F24" s="17">
        <v>1222</v>
      </c>
      <c r="G24" s="19" t="s">
        <v>11</v>
      </c>
      <c r="H24" s="17">
        <v>267</v>
      </c>
      <c r="I24" s="17">
        <v>38.142857142857146</v>
      </c>
      <c r="J24" s="17">
        <v>34</v>
      </c>
    </row>
    <row r="25" spans="1:10" ht="15">
      <c r="A25" s="17">
        <v>26.8</v>
      </c>
      <c r="B25" s="17">
        <v>804</v>
      </c>
      <c r="C25" s="17">
        <v>27.161290322580644</v>
      </c>
      <c r="D25" s="17">
        <v>842</v>
      </c>
      <c r="E25" s="17">
        <v>31.633333333333333</v>
      </c>
      <c r="F25" s="17">
        <v>949</v>
      </c>
      <c r="G25" s="19" t="s">
        <v>12</v>
      </c>
      <c r="H25" s="17">
        <v>190</v>
      </c>
      <c r="I25" s="17">
        <v>27.142857142857142</v>
      </c>
      <c r="J25" s="17">
        <v>26</v>
      </c>
    </row>
    <row r="26" spans="1:10" ht="15">
      <c r="A26" s="17">
        <v>0.8666666666666667</v>
      </c>
      <c r="B26" s="17">
        <v>26</v>
      </c>
      <c r="C26" s="17">
        <v>0.67741935483870963</v>
      </c>
      <c r="D26" s="17">
        <v>21</v>
      </c>
      <c r="E26" s="17">
        <v>0.3</v>
      </c>
      <c r="F26" s="17">
        <v>9</v>
      </c>
      <c r="G26" s="19" t="s">
        <v>13</v>
      </c>
      <c r="H26" s="17">
        <v>3</v>
      </c>
      <c r="I26" s="17">
        <v>0.42857142857142855</v>
      </c>
      <c r="J26" s="17">
        <v>0</v>
      </c>
    </row>
    <row r="27" spans="1:10" ht="15">
      <c r="A27" s="21">
        <v>2.8</v>
      </c>
      <c r="B27" s="21">
        <v>84</v>
      </c>
      <c r="C27" s="21">
        <v>3.6451612903225805</v>
      </c>
      <c r="D27" s="21">
        <v>113</v>
      </c>
      <c r="E27" s="21">
        <v>2.5666666666666669</v>
      </c>
      <c r="F27" s="21">
        <v>77</v>
      </c>
      <c r="G27" s="20" t="s">
        <v>19</v>
      </c>
      <c r="H27" s="21">
        <v>29</v>
      </c>
      <c r="I27" s="21">
        <v>4.1428571428571432</v>
      </c>
      <c r="J27" s="21">
        <v>7</v>
      </c>
    </row>
    <row r="28" spans="1:10" ht="15">
      <c r="A28" s="17"/>
      <c r="B28" s="17"/>
      <c r="C28" s="17"/>
      <c r="D28" s="17"/>
      <c r="E28" s="17"/>
      <c r="F28" s="17"/>
      <c r="G28" s="18"/>
      <c r="H28" s="17"/>
      <c r="I28" s="17"/>
      <c r="J28" s="17"/>
    </row>
    <row r="29" spans="1:10" ht="15">
      <c r="A29" s="17">
        <v>22.033333333333335</v>
      </c>
      <c r="B29" s="17">
        <v>661</v>
      </c>
      <c r="C29" s="17">
        <v>21.258064516129032</v>
      </c>
      <c r="D29" s="17">
        <v>659</v>
      </c>
      <c r="E29" s="17">
        <v>23.366666666666667</v>
      </c>
      <c r="F29" s="17">
        <v>701</v>
      </c>
      <c r="G29" s="18" t="s">
        <v>20</v>
      </c>
      <c r="H29" s="17">
        <v>146</v>
      </c>
      <c r="I29" s="17">
        <v>20.857142857142858</v>
      </c>
      <c r="J29" s="17">
        <v>20</v>
      </c>
    </row>
    <row r="30" spans="1:10" ht="15">
      <c r="A30" s="17"/>
      <c r="B30" s="17"/>
      <c r="C30" s="17"/>
      <c r="D30" s="17"/>
      <c r="E30" s="17"/>
      <c r="F30" s="17"/>
      <c r="G30" s="18"/>
      <c r="H30" s="17"/>
      <c r="I30" s="17"/>
      <c r="J30" s="17"/>
    </row>
    <row r="31" spans="1:10" ht="16.5">
      <c r="A31" s="15"/>
      <c r="B31" s="15"/>
      <c r="C31" s="15"/>
      <c r="D31" s="15"/>
      <c r="E31" s="15"/>
      <c r="F31" s="15"/>
      <c r="G31" s="22" t="s">
        <v>21</v>
      </c>
      <c r="H31" s="15"/>
      <c r="I31" s="15"/>
      <c r="J31" s="15"/>
    </row>
    <row r="32" spans="1:10" ht="15.75">
      <c r="A32" s="15">
        <v>7779345.0696666678</v>
      </c>
      <c r="B32" s="15">
        <v>233380352.09000003</v>
      </c>
      <c r="C32" s="15">
        <v>7946354.1077419352</v>
      </c>
      <c r="D32" s="15">
        <v>246336977.34</v>
      </c>
      <c r="E32" s="15">
        <v>8792161.6670000013</v>
      </c>
      <c r="F32" s="15">
        <v>263764850.01000002</v>
      </c>
      <c r="G32" s="9" t="s">
        <v>22</v>
      </c>
      <c r="H32" s="15">
        <v>59158732.019999996</v>
      </c>
      <c r="I32" s="15">
        <v>8451247.4314285703</v>
      </c>
      <c r="J32" s="15">
        <v>10478583.5</v>
      </c>
    </row>
    <row r="33" spans="1:10" ht="15.75">
      <c r="A33" s="15">
        <v>18815569.685999997</v>
      </c>
      <c r="B33" s="15">
        <v>564467090.57999992</v>
      </c>
      <c r="C33" s="15">
        <v>18455359.695483871</v>
      </c>
      <c r="D33" s="15">
        <v>572116150.55999994</v>
      </c>
      <c r="E33" s="15">
        <v>19461735.821666669</v>
      </c>
      <c r="F33" s="15">
        <v>583852074.6500001</v>
      </c>
      <c r="G33" s="9" t="s">
        <v>23</v>
      </c>
      <c r="H33" s="15">
        <v>130695355.86999997</v>
      </c>
      <c r="I33" s="15">
        <v>18670765.124285709</v>
      </c>
      <c r="J33" s="15">
        <v>19501794.57</v>
      </c>
    </row>
    <row r="34" spans="1:10" ht="16.5">
      <c r="A34" s="24">
        <v>26594914.755666666</v>
      </c>
      <c r="B34" s="24">
        <v>797847442.66999996</v>
      </c>
      <c r="C34" s="24">
        <v>26401713.803225808</v>
      </c>
      <c r="D34" s="24">
        <v>818453127.89999998</v>
      </c>
      <c r="E34" s="24">
        <v>28253897.488666669</v>
      </c>
      <c r="F34" s="24">
        <v>847616924.66000009</v>
      </c>
      <c r="G34" s="23" t="s">
        <v>24</v>
      </c>
      <c r="H34" s="24">
        <v>189854087.88999999</v>
      </c>
      <c r="I34" s="24">
        <v>27122012.555714283</v>
      </c>
      <c r="J34" s="24">
        <v>29980378.07</v>
      </c>
    </row>
    <row r="35" spans="1:10" ht="15">
      <c r="A35" s="17"/>
      <c r="B35" s="17"/>
      <c r="C35" s="17"/>
      <c r="D35" s="17"/>
      <c r="E35" s="17"/>
      <c r="F35" s="17"/>
      <c r="G35" s="25"/>
      <c r="H35" s="17"/>
      <c r="I35" s="17"/>
      <c r="J35" s="17"/>
    </row>
    <row r="36" spans="1:10" ht="16.5">
      <c r="A36" s="17"/>
      <c r="B36" s="17"/>
      <c r="C36" s="17"/>
      <c r="D36" s="17"/>
      <c r="E36" s="17"/>
      <c r="F36" s="17"/>
      <c r="G36" s="22" t="s">
        <v>21</v>
      </c>
      <c r="H36" s="17"/>
      <c r="I36" s="17"/>
      <c r="J36" s="17"/>
    </row>
    <row r="37" spans="1:10" ht="15">
      <c r="A37" s="17">
        <v>25148845.672000002</v>
      </c>
      <c r="B37" s="17">
        <v>754465370.16000009</v>
      </c>
      <c r="C37" s="17">
        <v>24937813.347096771</v>
      </c>
      <c r="D37" s="17">
        <v>773072213.75999999</v>
      </c>
      <c r="E37" s="17">
        <v>27316637.163666669</v>
      </c>
      <c r="F37" s="17">
        <v>819499114.91000009</v>
      </c>
      <c r="G37" s="16" t="s">
        <v>25</v>
      </c>
      <c r="H37" s="17">
        <v>179424014.89999998</v>
      </c>
      <c r="I37" s="17">
        <v>25632002.128571425</v>
      </c>
      <c r="J37" s="17">
        <v>29739921.07</v>
      </c>
    </row>
    <row r="38" spans="1:10" ht="15">
      <c r="A38" s="17">
        <v>1446069.0843333332</v>
      </c>
      <c r="B38" s="17">
        <v>43382072.529999994</v>
      </c>
      <c r="C38" s="17">
        <v>1463900.4564516128</v>
      </c>
      <c r="D38" s="17">
        <v>45380914.149999999</v>
      </c>
      <c r="E38" s="17">
        <v>937260.32499999995</v>
      </c>
      <c r="F38" s="17">
        <v>28117809.75</v>
      </c>
      <c r="G38" s="16" t="s">
        <v>26</v>
      </c>
      <c r="H38" s="17">
        <v>10430072.890000001</v>
      </c>
      <c r="I38" s="17">
        <v>1490010.412857143</v>
      </c>
      <c r="J38" s="17">
        <v>240457</v>
      </c>
    </row>
    <row r="39" spans="1:10" ht="16.5">
      <c r="A39" s="24">
        <v>26594914.756333336</v>
      </c>
      <c r="B39" s="24">
        <v>797847442.69000006</v>
      </c>
      <c r="C39" s="24">
        <v>26401713.803548384</v>
      </c>
      <c r="D39" s="24">
        <v>818453127.90999997</v>
      </c>
      <c r="E39" s="24">
        <v>28253897.488666669</v>
      </c>
      <c r="F39" s="24">
        <v>847616924.66000009</v>
      </c>
      <c r="G39" s="23" t="s">
        <v>24</v>
      </c>
      <c r="H39" s="24">
        <v>189854087.78999999</v>
      </c>
      <c r="I39" s="24">
        <v>27122012.54142857</v>
      </c>
      <c r="J39" s="24">
        <v>29980378.07</v>
      </c>
    </row>
    <row r="40" spans="1:10" ht="15">
      <c r="A40" s="17"/>
      <c r="B40" s="17"/>
      <c r="C40" s="17"/>
      <c r="D40" s="17"/>
      <c r="E40" s="17"/>
      <c r="F40" s="17"/>
      <c r="G40" s="25"/>
      <c r="H40" s="17"/>
      <c r="I40" s="17"/>
      <c r="J40" s="17"/>
    </row>
    <row r="41" spans="1:10" ht="16.5">
      <c r="A41" s="17"/>
      <c r="B41" s="17"/>
      <c r="C41" s="17"/>
      <c r="D41" s="17"/>
      <c r="E41" s="17"/>
      <c r="F41" s="17"/>
      <c r="G41" s="22" t="s">
        <v>21</v>
      </c>
      <c r="H41" s="17"/>
      <c r="I41" s="17"/>
      <c r="J41" s="17"/>
    </row>
    <row r="42" spans="1:10" ht="16.5">
      <c r="A42" s="17"/>
      <c r="B42" s="17"/>
      <c r="C42" s="17"/>
      <c r="D42" s="17"/>
      <c r="E42" s="17"/>
      <c r="F42" s="17"/>
      <c r="G42" s="22"/>
      <c r="H42" s="17"/>
      <c r="I42" s="17"/>
      <c r="J42" s="17"/>
    </row>
    <row r="43" spans="1:10" ht="18">
      <c r="A43" s="15"/>
      <c r="B43" s="15"/>
      <c r="C43" s="15"/>
      <c r="D43" s="15"/>
      <c r="E43" s="15"/>
      <c r="F43" s="15"/>
      <c r="G43" s="26" t="s">
        <v>27</v>
      </c>
      <c r="H43" s="15"/>
      <c r="I43" s="15"/>
      <c r="J43" s="15"/>
    </row>
    <row r="44" spans="1:10" ht="15.75">
      <c r="A44" s="15">
        <v>15356913.085000003</v>
      </c>
      <c r="B44" s="15">
        <v>460707392.55000007</v>
      </c>
      <c r="C44" s="15">
        <v>14745637.771290321</v>
      </c>
      <c r="D44" s="15">
        <v>457114770.90999997</v>
      </c>
      <c r="E44" s="15">
        <v>16356440.978333334</v>
      </c>
      <c r="F44" s="15">
        <v>490693229.35000002</v>
      </c>
      <c r="G44" s="9" t="s">
        <v>25</v>
      </c>
      <c r="H44" s="15">
        <v>108920399.37</v>
      </c>
      <c r="I44" s="15">
        <v>15560057.052857144</v>
      </c>
      <c r="J44" s="15">
        <v>19419620.190000001</v>
      </c>
    </row>
    <row r="45" spans="1:10" ht="15.75">
      <c r="A45" s="15">
        <v>312972.73099999991</v>
      </c>
      <c r="B45" s="15">
        <v>9389181.9299999978</v>
      </c>
      <c r="C45" s="15">
        <v>479109.62870967743</v>
      </c>
      <c r="D45" s="15">
        <v>14852398.49</v>
      </c>
      <c r="E45" s="15">
        <v>396202.71733333333</v>
      </c>
      <c r="F45" s="15">
        <v>11886081.52</v>
      </c>
      <c r="G45" s="9" t="s">
        <v>26</v>
      </c>
      <c r="H45" s="15">
        <v>2696056.1999999997</v>
      </c>
      <c r="I45" s="15">
        <v>385150.88571428566</v>
      </c>
      <c r="J45" s="15">
        <v>240457</v>
      </c>
    </row>
    <row r="46" spans="1:10" ht="15">
      <c r="A46" s="15"/>
      <c r="B46" s="15"/>
      <c r="C46" s="15"/>
      <c r="D46" s="15"/>
      <c r="E46" s="15"/>
      <c r="F46" s="15"/>
      <c r="G46" s="16"/>
      <c r="H46" s="15"/>
      <c r="I46" s="15"/>
      <c r="J46" s="15"/>
    </row>
    <row r="47" spans="1:10" ht="18">
      <c r="A47" s="15"/>
      <c r="B47" s="15"/>
      <c r="C47" s="15"/>
      <c r="D47" s="15"/>
      <c r="E47" s="15"/>
      <c r="F47" s="15"/>
      <c r="G47" s="26" t="s">
        <v>28</v>
      </c>
      <c r="H47" s="15"/>
      <c r="I47" s="15"/>
      <c r="J47" s="15"/>
    </row>
    <row r="48" spans="1:10" ht="15.75">
      <c r="A48" s="15">
        <v>9791932.5869999994</v>
      </c>
      <c r="B48" s="15">
        <v>293757977.61000001</v>
      </c>
      <c r="C48" s="15">
        <v>10192175.57580645</v>
      </c>
      <c r="D48" s="15">
        <v>315957442.84999996</v>
      </c>
      <c r="E48" s="15">
        <v>10960186.185333334</v>
      </c>
      <c r="F48" s="15">
        <v>328805585.56</v>
      </c>
      <c r="G48" s="9" t="s">
        <v>25</v>
      </c>
      <c r="H48" s="15">
        <v>70503615.530000001</v>
      </c>
      <c r="I48" s="15">
        <v>10071945.075714286</v>
      </c>
      <c r="J48" s="15">
        <v>10320300.880000001</v>
      </c>
    </row>
    <row r="49" spans="1:10" ht="15">
      <c r="A49" s="17">
        <v>2956538.4573333329</v>
      </c>
      <c r="B49" s="17">
        <v>88696153.719999984</v>
      </c>
      <c r="C49" s="17">
        <v>2837884.3412903226</v>
      </c>
      <c r="D49" s="17">
        <v>87974414.579999998</v>
      </c>
      <c r="E49" s="17">
        <v>3193959.7213333328</v>
      </c>
      <c r="F49" s="17">
        <v>95818791.639999986</v>
      </c>
      <c r="G49" s="16" t="s">
        <v>29</v>
      </c>
      <c r="H49" s="17">
        <v>21388700.100000001</v>
      </c>
      <c r="I49" s="17">
        <v>3055528.5857142857</v>
      </c>
      <c r="J49" s="17">
        <v>2696235.49</v>
      </c>
    </row>
    <row r="50" spans="1:10" ht="15">
      <c r="A50" s="17">
        <v>114988.73699999999</v>
      </c>
      <c r="B50" s="17">
        <v>3449662.11</v>
      </c>
      <c r="C50" s="17">
        <v>115145.89548387098</v>
      </c>
      <c r="D50" s="17">
        <v>3569522.7600000002</v>
      </c>
      <c r="E50" s="17">
        <v>64290.700333333334</v>
      </c>
      <c r="F50" s="17">
        <v>1928721.01</v>
      </c>
      <c r="G50" s="16" t="s">
        <v>30</v>
      </c>
      <c r="H50" s="17">
        <v>80957.990000000005</v>
      </c>
      <c r="I50" s="17">
        <v>11565.427142857143</v>
      </c>
      <c r="J50" s="17">
        <v>0</v>
      </c>
    </row>
    <row r="51" spans="1:10" ht="15">
      <c r="A51" s="17">
        <v>5792975.1653333334</v>
      </c>
      <c r="B51" s="17">
        <v>173789254.96000001</v>
      </c>
      <c r="C51" s="17">
        <v>6153580.188387095</v>
      </c>
      <c r="D51" s="17">
        <v>190760985.83999994</v>
      </c>
      <c r="E51" s="17">
        <v>6843860.5746666668</v>
      </c>
      <c r="F51" s="17">
        <v>205315817.24000001</v>
      </c>
      <c r="G51" s="16" t="s">
        <v>31</v>
      </c>
      <c r="H51" s="17">
        <v>41055734.100000001</v>
      </c>
      <c r="I51" s="17">
        <v>5865104.8714285716</v>
      </c>
      <c r="J51" s="17">
        <v>5426065.6100000003</v>
      </c>
    </row>
    <row r="52" spans="1:10" ht="15">
      <c r="A52" s="17">
        <v>927430.22733333323</v>
      </c>
      <c r="B52" s="17">
        <v>27822906.819999997</v>
      </c>
      <c r="C52" s="17">
        <v>1085565.150645161</v>
      </c>
      <c r="D52" s="17">
        <v>33652519.669999994</v>
      </c>
      <c r="E52" s="17">
        <v>858075.18900000001</v>
      </c>
      <c r="F52" s="17">
        <v>25742255.670000002</v>
      </c>
      <c r="G52" s="16" t="s">
        <v>32</v>
      </c>
      <c r="H52" s="17">
        <v>7978223.3399999999</v>
      </c>
      <c r="I52" s="17">
        <v>1139746.1914285715</v>
      </c>
      <c r="J52" s="17">
        <v>2197999.7799999998</v>
      </c>
    </row>
    <row r="53" spans="1:10" ht="15">
      <c r="A53" s="17"/>
      <c r="B53" s="17"/>
      <c r="C53" s="17"/>
      <c r="D53" s="17"/>
      <c r="E53" s="17"/>
      <c r="F53" s="17"/>
      <c r="G53" s="16"/>
      <c r="H53" s="17"/>
      <c r="I53" s="17"/>
      <c r="J53" s="17"/>
    </row>
    <row r="54" spans="1:10" ht="15.75">
      <c r="A54" s="15">
        <v>1133096.3533333333</v>
      </c>
      <c r="B54" s="15">
        <v>33992890.599999994</v>
      </c>
      <c r="C54" s="15">
        <v>984790.82774193527</v>
      </c>
      <c r="D54" s="15">
        <v>30528515.659999996</v>
      </c>
      <c r="E54" s="15">
        <v>541067.60666666657</v>
      </c>
      <c r="F54" s="15">
        <v>16232028.199999997</v>
      </c>
      <c r="G54" s="9" t="s">
        <v>26</v>
      </c>
      <c r="H54" s="15">
        <v>7734016.6899999995</v>
      </c>
      <c r="I54" s="15">
        <v>1104859.527142857</v>
      </c>
      <c r="J54" s="15">
        <v>0</v>
      </c>
    </row>
    <row r="55" spans="1:10" ht="15">
      <c r="A55" s="17">
        <v>1041864.0303333332</v>
      </c>
      <c r="B55" s="17">
        <v>31255920.909999996</v>
      </c>
      <c r="C55" s="17">
        <v>707343.24677419337</v>
      </c>
      <c r="D55" s="17">
        <v>21927640.649999995</v>
      </c>
      <c r="E55" s="17">
        <v>405154.02133333322</v>
      </c>
      <c r="F55" s="17">
        <v>12154620.639999997</v>
      </c>
      <c r="G55" s="16" t="s">
        <v>33</v>
      </c>
      <c r="H55" s="17">
        <v>7734016.6899999995</v>
      </c>
      <c r="I55" s="17">
        <v>1104859.527142857</v>
      </c>
      <c r="J55" s="17">
        <v>0</v>
      </c>
    </row>
    <row r="56" spans="1:10" ht="15">
      <c r="A56" s="17">
        <v>91232.323000000004</v>
      </c>
      <c r="B56" s="17">
        <v>2736969.69</v>
      </c>
      <c r="C56" s="17">
        <v>277447.5809677419</v>
      </c>
      <c r="D56" s="17">
        <v>8600875.0099999998</v>
      </c>
      <c r="E56" s="17">
        <v>135913.58533333332</v>
      </c>
      <c r="F56" s="17">
        <v>4077407.56</v>
      </c>
      <c r="G56" s="16" t="s">
        <v>32</v>
      </c>
      <c r="H56" s="17">
        <v>0</v>
      </c>
      <c r="I56" s="17">
        <v>0</v>
      </c>
      <c r="J56" s="17"/>
    </row>
    <row r="57" spans="1:10" ht="16.5">
      <c r="A57" s="24">
        <v>26594914.756333336</v>
      </c>
      <c r="B57" s="24">
        <v>797847442.69000018</v>
      </c>
      <c r="C57" s="24">
        <v>26401713.803548384</v>
      </c>
      <c r="D57" s="24">
        <v>818453127.90999997</v>
      </c>
      <c r="E57" s="24">
        <v>28253897.48766667</v>
      </c>
      <c r="F57" s="24">
        <v>847616924.63000011</v>
      </c>
      <c r="G57" s="23" t="s">
        <v>24</v>
      </c>
      <c r="H57" s="24">
        <v>189854087.78999999</v>
      </c>
      <c r="I57" s="24">
        <v>27122012.54142857</v>
      </c>
      <c r="J57" s="24">
        <v>29980378.07</v>
      </c>
    </row>
    <row r="58" spans="1:10" ht="15">
      <c r="A58" s="15"/>
      <c r="B58" s="15"/>
      <c r="C58" s="15"/>
      <c r="D58" s="15"/>
      <c r="E58" s="15"/>
      <c r="F58" s="15"/>
      <c r="G58" s="25"/>
      <c r="H58" s="15"/>
      <c r="I58" s="15"/>
      <c r="J58" s="15"/>
    </row>
    <row r="59" spans="1:10" ht="19.5">
      <c r="A59" s="31"/>
      <c r="B59" s="31"/>
      <c r="C59" s="31"/>
      <c r="D59" s="31"/>
      <c r="E59" s="31"/>
      <c r="F59" s="31"/>
      <c r="G59" s="25"/>
      <c r="H59" s="31"/>
      <c r="I59" s="31"/>
      <c r="J59" s="31"/>
    </row>
    <row r="60" spans="1:10" ht="16.5">
      <c r="A60" s="28">
        <v>8167677.291333341</v>
      </c>
      <c r="B60" s="28">
        <v>245030318.74000022</v>
      </c>
      <c r="C60" s="28">
        <v>8148915.1151612997</v>
      </c>
      <c r="D60" s="28">
        <v>252616368.57000029</v>
      </c>
      <c r="E60" s="28">
        <v>8480982.3639999963</v>
      </c>
      <c r="F60" s="28">
        <v>254429470.91999987</v>
      </c>
      <c r="G60" s="27" t="s">
        <v>34</v>
      </c>
      <c r="H60" s="28">
        <v>58031283.429999985</v>
      </c>
      <c r="I60" s="28">
        <v>8290183.3471428547</v>
      </c>
      <c r="J60" s="28">
        <v>9782405.4199999738</v>
      </c>
    </row>
    <row r="61" spans="1:10" ht="16.5">
      <c r="A61" s="15"/>
      <c r="B61" s="15"/>
      <c r="C61" s="15"/>
      <c r="D61" s="15"/>
      <c r="E61" s="15"/>
      <c r="F61" s="15"/>
      <c r="G61" s="22"/>
      <c r="H61" s="15"/>
      <c r="I61" s="15"/>
      <c r="J61" s="15"/>
    </row>
    <row r="62" spans="1:10" ht="15">
      <c r="A62" s="17"/>
      <c r="B62" s="17"/>
      <c r="C62" s="17"/>
      <c r="D62" s="17"/>
      <c r="E62" s="17"/>
      <c r="F62" s="17"/>
      <c r="G62" s="25"/>
      <c r="H62" s="17"/>
      <c r="I62" s="17"/>
      <c r="J62" s="17"/>
    </row>
    <row r="63" spans="1:10" ht="16.5">
      <c r="A63" s="24">
        <v>18427237.464999996</v>
      </c>
      <c r="B63" s="24">
        <v>552817123.94999993</v>
      </c>
      <c r="C63" s="24">
        <v>18252798.688387085</v>
      </c>
      <c r="D63" s="24">
        <v>565836759.33999968</v>
      </c>
      <c r="E63" s="24">
        <v>19772915.123666678</v>
      </c>
      <c r="F63" s="24">
        <v>593187453.71000028</v>
      </c>
      <c r="G63" s="23" t="s">
        <v>35</v>
      </c>
      <c r="H63" s="24">
        <v>131822804.36000001</v>
      </c>
      <c r="I63" s="24">
        <v>18831829.194285717</v>
      </c>
      <c r="J63" s="24">
        <v>20197972.650000028</v>
      </c>
    </row>
    <row r="64" spans="1:10" ht="15">
      <c r="A64" s="17"/>
      <c r="B64" s="17"/>
      <c r="C64" s="17"/>
      <c r="D64" s="17"/>
      <c r="E64" s="17"/>
      <c r="F64" s="17"/>
      <c r="G64" s="25"/>
      <c r="H64" s="17"/>
      <c r="I64" s="17"/>
      <c r="J64" s="17"/>
    </row>
    <row r="65" spans="1:10" ht="15">
      <c r="A65" s="17"/>
      <c r="B65" s="17"/>
      <c r="C65" s="17"/>
      <c r="D65" s="17"/>
      <c r="E65" s="17"/>
      <c r="F65" s="17"/>
      <c r="G65" s="25"/>
      <c r="H65" s="17"/>
      <c r="I65" s="17"/>
      <c r="J65" s="17"/>
    </row>
    <row r="66" spans="1:10" ht="16.5">
      <c r="A66" s="15"/>
      <c r="B66" s="15"/>
      <c r="C66" s="15"/>
      <c r="D66" s="15"/>
      <c r="E66" s="15"/>
      <c r="F66" s="15"/>
      <c r="G66" s="22" t="s">
        <v>36</v>
      </c>
      <c r="H66" s="15"/>
      <c r="I66" s="15"/>
      <c r="J66" s="15"/>
    </row>
    <row r="67" spans="1:10" ht="15">
      <c r="A67" s="17">
        <v>5910105.9333399972</v>
      </c>
      <c r="B67" s="17">
        <v>177303178.00019991</v>
      </c>
      <c r="C67" s="17">
        <v>5866329.9354838692</v>
      </c>
      <c r="D67" s="17">
        <v>181856227.99999994</v>
      </c>
      <c r="E67" s="17">
        <v>5787811.3000699989</v>
      </c>
      <c r="F67" s="17">
        <v>173634339.00209996</v>
      </c>
      <c r="G67" s="16" t="s">
        <v>37</v>
      </c>
      <c r="H67" s="17">
        <v>32016800.000000019</v>
      </c>
      <c r="I67" s="17">
        <v>4573828.5714285737</v>
      </c>
      <c r="J67" s="17">
        <v>6845762.0000000112</v>
      </c>
    </row>
    <row r="68" spans="1:10" ht="15">
      <c r="A68" s="17">
        <v>11196551.166666666</v>
      </c>
      <c r="B68" s="17">
        <v>335896535</v>
      </c>
      <c r="C68" s="17">
        <v>10592793.677419355</v>
      </c>
      <c r="D68" s="17">
        <v>328376604</v>
      </c>
      <c r="E68" s="17">
        <v>10760387.4</v>
      </c>
      <c r="F68" s="17">
        <v>322811622</v>
      </c>
      <c r="G68" s="16" t="s">
        <v>38</v>
      </c>
      <c r="H68" s="17">
        <v>72574241</v>
      </c>
      <c r="I68" s="17">
        <v>10367748.714285715</v>
      </c>
      <c r="J68" s="17">
        <v>13382780</v>
      </c>
    </row>
    <row r="69" spans="1:10" ht="15">
      <c r="A69" s="17">
        <v>14119849.986333333</v>
      </c>
      <c r="B69" s="17">
        <v>423595499.58999997</v>
      </c>
      <c r="C69" s="17">
        <v>12954746.589999998</v>
      </c>
      <c r="D69" s="17">
        <v>402540199.28999996</v>
      </c>
      <c r="E69" s="17">
        <v>18774984.126666665</v>
      </c>
      <c r="F69" s="17">
        <v>563249523.79999995</v>
      </c>
      <c r="G69" s="16" t="s">
        <v>39</v>
      </c>
      <c r="H69" s="17">
        <v>67964280.719999999</v>
      </c>
      <c r="I69" s="17">
        <v>9709182.959999999</v>
      </c>
      <c r="J69" s="17">
        <v>9300537.1999999993</v>
      </c>
    </row>
    <row r="70" spans="1:10" ht="15">
      <c r="A70" s="17">
        <v>0</v>
      </c>
      <c r="B70" s="17">
        <v>0</v>
      </c>
      <c r="C70" s="17">
        <v>577.29032258064512</v>
      </c>
      <c r="D70" s="17">
        <v>17896</v>
      </c>
      <c r="E70" s="17">
        <v>400494.33333333331</v>
      </c>
      <c r="F70" s="17">
        <v>12014830</v>
      </c>
      <c r="G70" s="16" t="s">
        <v>40</v>
      </c>
      <c r="H70" s="17">
        <v>0</v>
      </c>
      <c r="I70" s="17">
        <v>0</v>
      </c>
      <c r="J70" s="17">
        <v>0</v>
      </c>
    </row>
    <row r="71" spans="1:10" ht="15">
      <c r="A71" s="17">
        <v>58626.23333333333</v>
      </c>
      <c r="B71" s="17">
        <v>1758787</v>
      </c>
      <c r="C71" s="17">
        <v>33986.806451612902</v>
      </c>
      <c r="D71" s="17">
        <v>1053591</v>
      </c>
      <c r="E71" s="17">
        <v>222898.26666666666</v>
      </c>
      <c r="F71" s="17">
        <v>6686948</v>
      </c>
      <c r="G71" s="29" t="s">
        <v>41</v>
      </c>
      <c r="H71" s="17">
        <v>1604127</v>
      </c>
      <c r="I71" s="17">
        <v>229161</v>
      </c>
      <c r="J71" s="17">
        <v>336941</v>
      </c>
    </row>
    <row r="72" spans="1:10" ht="15">
      <c r="A72" s="17">
        <v>1888063.8</v>
      </c>
      <c r="B72" s="17">
        <v>56641914</v>
      </c>
      <c r="C72" s="17">
        <v>2239699.4954838711</v>
      </c>
      <c r="D72" s="17">
        <v>69430684.359999999</v>
      </c>
      <c r="E72" s="17">
        <v>1608721.9666666666</v>
      </c>
      <c r="F72" s="17">
        <v>48261659</v>
      </c>
      <c r="G72" s="29" t="s">
        <v>42</v>
      </c>
      <c r="H72" s="17">
        <v>10858034</v>
      </c>
      <c r="I72" s="17">
        <v>1551147.7142857143</v>
      </c>
      <c r="J72" s="17">
        <v>1073713</v>
      </c>
    </row>
    <row r="73" spans="1:10" ht="17.25" thickBot="1">
      <c r="A73" s="24">
        <v>29279817.053006701</v>
      </c>
      <c r="B73" s="24">
        <v>878394511.59019995</v>
      </c>
      <c r="C73" s="24">
        <v>27140761.191290319</v>
      </c>
      <c r="D73" s="24">
        <v>842306651.92999995</v>
      </c>
      <c r="E73" s="24">
        <v>33892056.926736668</v>
      </c>
      <c r="F73" s="24">
        <v>1016761707.8020999</v>
      </c>
      <c r="G73" s="30" t="s">
        <v>43</v>
      </c>
      <c r="H73" s="24">
        <v>160093160.72000003</v>
      </c>
      <c r="I73" s="24">
        <v>22870451.531428576</v>
      </c>
      <c r="J73" s="24">
        <v>28118425.20000001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selection sqref="A1:J73"/>
    </sheetView>
  </sheetViews>
  <sheetFormatPr defaultRowHeight="14.25"/>
  <cols>
    <col min="1" max="1" width="12.125" customWidth="1"/>
    <col min="2" max="2" width="14" customWidth="1"/>
    <col min="3" max="3" width="12.875" customWidth="1"/>
    <col min="4" max="4" width="14.875" customWidth="1"/>
    <col min="5" max="5" width="14.375" customWidth="1"/>
    <col min="6" max="6" width="16.375" customWidth="1"/>
    <col min="7" max="7" width="33.625" customWidth="1"/>
    <col min="8" max="8" width="16" customWidth="1"/>
    <col min="9" max="9" width="14.125" customWidth="1"/>
    <col min="10" max="10" width="16.875" customWidth="1"/>
    <col min="12" max="12" width="13.625" customWidth="1"/>
    <col min="13" max="13" width="16.5" customWidth="1"/>
  </cols>
  <sheetData>
    <row r="1" spans="1:10" ht="45.75" thickBot="1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95</v>
      </c>
      <c r="G1" s="3" t="s">
        <v>1</v>
      </c>
      <c r="H1" s="4" t="s">
        <v>88</v>
      </c>
      <c r="I1" s="4" t="s">
        <v>89</v>
      </c>
      <c r="J1" s="4" t="s">
        <v>96</v>
      </c>
    </row>
    <row r="2" spans="1:10" ht="15.75">
      <c r="A2" s="6"/>
      <c r="B2" s="6"/>
      <c r="C2" s="6"/>
      <c r="D2" s="6"/>
      <c r="E2" s="6"/>
      <c r="F2" s="6"/>
      <c r="G2" s="5"/>
      <c r="H2" s="6"/>
      <c r="I2" s="6"/>
      <c r="J2" s="6"/>
    </row>
    <row r="3" spans="1:10" ht="16.5">
      <c r="A3" s="8"/>
      <c r="B3" s="8"/>
      <c r="C3" s="8"/>
      <c r="D3" s="8"/>
      <c r="E3" s="8"/>
      <c r="F3" s="8"/>
      <c r="G3" s="7" t="s">
        <v>2</v>
      </c>
      <c r="H3" s="8"/>
      <c r="I3" s="8"/>
      <c r="J3" s="8"/>
    </row>
    <row r="4" spans="1:10" ht="15.75">
      <c r="A4" s="8">
        <v>1000</v>
      </c>
      <c r="B4" s="8">
        <v>1000</v>
      </c>
      <c r="C4" s="8">
        <v>1000</v>
      </c>
      <c r="D4" s="8">
        <v>1000</v>
      </c>
      <c r="E4" s="8">
        <v>1000</v>
      </c>
      <c r="F4" s="8">
        <v>30000</v>
      </c>
      <c r="G4" s="9" t="s">
        <v>3</v>
      </c>
      <c r="H4" s="8">
        <v>6000</v>
      </c>
      <c r="I4" s="8">
        <v>1000</v>
      </c>
      <c r="J4" s="8">
        <v>1000</v>
      </c>
    </row>
    <row r="5" spans="1:10" ht="15.75">
      <c r="A5" s="32">
        <v>930.33333333333337</v>
      </c>
      <c r="B5" s="32">
        <v>930.33333333333337</v>
      </c>
      <c r="C5" s="33">
        <v>967</v>
      </c>
      <c r="D5" s="33">
        <v>967</v>
      </c>
      <c r="E5" s="33">
        <v>983.5</v>
      </c>
      <c r="F5" s="8">
        <v>29505</v>
      </c>
      <c r="G5" s="9" t="s">
        <v>4</v>
      </c>
      <c r="H5" s="8">
        <v>5563</v>
      </c>
      <c r="I5" s="33">
        <v>927.16666666666663</v>
      </c>
      <c r="J5" s="8">
        <v>949</v>
      </c>
    </row>
    <row r="6" spans="1:10" ht="16.5">
      <c r="A6" s="11">
        <v>0.93033333333333335</v>
      </c>
      <c r="B6" s="11">
        <v>0.93033333333333335</v>
      </c>
      <c r="C6" s="11">
        <v>0.96699999999999997</v>
      </c>
      <c r="D6" s="11">
        <v>0.96699999999999997</v>
      </c>
      <c r="E6" s="11">
        <v>0.98350000000000004</v>
      </c>
      <c r="F6" s="11">
        <v>0.98350000000000004</v>
      </c>
      <c r="G6" s="10" t="s">
        <v>5</v>
      </c>
      <c r="H6" s="11">
        <v>0.92716666666666669</v>
      </c>
      <c r="I6" s="11">
        <v>0.92716666666666658</v>
      </c>
      <c r="J6" s="11">
        <v>0.94899999999999995</v>
      </c>
    </row>
    <row r="7" spans="1:10" ht="15">
      <c r="A7" s="32"/>
      <c r="B7" s="32"/>
      <c r="C7" s="32"/>
      <c r="D7" s="32"/>
      <c r="E7" s="32"/>
      <c r="F7" s="32"/>
      <c r="G7" s="12"/>
      <c r="H7" s="32"/>
      <c r="I7" s="32"/>
      <c r="J7" s="32"/>
    </row>
    <row r="8" spans="1:10" ht="16.5">
      <c r="A8" s="32"/>
      <c r="B8" s="32"/>
      <c r="C8" s="32"/>
      <c r="D8" s="32"/>
      <c r="E8" s="32"/>
      <c r="F8" s="32"/>
      <c r="G8" s="13" t="s">
        <v>6</v>
      </c>
      <c r="H8" s="32"/>
      <c r="I8" s="32"/>
      <c r="J8" s="32"/>
    </row>
    <row r="9" spans="1:10" ht="15.75">
      <c r="A9" s="15">
        <v>345.4</v>
      </c>
      <c r="B9" s="15">
        <v>10362</v>
      </c>
      <c r="C9" s="15">
        <v>356.48387096774195</v>
      </c>
      <c r="D9" s="15">
        <v>11051</v>
      </c>
      <c r="E9" s="15">
        <v>386.16666666666669</v>
      </c>
      <c r="F9" s="15">
        <v>11585</v>
      </c>
      <c r="G9" s="14" t="s">
        <v>7</v>
      </c>
      <c r="H9" s="15">
        <v>2265</v>
      </c>
      <c r="I9" s="15">
        <v>377.5</v>
      </c>
      <c r="J9" s="15">
        <v>574</v>
      </c>
    </row>
    <row r="10" spans="1:10" ht="15.75">
      <c r="A10" s="15">
        <v>3003.3666666666668</v>
      </c>
      <c r="B10" s="15">
        <v>90101</v>
      </c>
      <c r="C10" s="15">
        <v>3099.8064516129034</v>
      </c>
      <c r="D10" s="15">
        <v>96094</v>
      </c>
      <c r="E10" s="15">
        <v>3273.0333333333333</v>
      </c>
      <c r="F10" s="15">
        <v>98191</v>
      </c>
      <c r="G10" s="14" t="s">
        <v>8</v>
      </c>
      <c r="H10" s="15">
        <v>19569</v>
      </c>
      <c r="I10" s="15">
        <v>3261.5</v>
      </c>
      <c r="J10" s="15">
        <v>4497</v>
      </c>
    </row>
    <row r="11" spans="1:10" ht="15.75">
      <c r="A11" s="15">
        <v>260.26666666666665</v>
      </c>
      <c r="B11" s="15">
        <v>7808</v>
      </c>
      <c r="C11" s="15">
        <v>260.51612903225799</v>
      </c>
      <c r="D11" s="15">
        <v>8076</v>
      </c>
      <c r="E11" s="15">
        <v>283.83333333333331</v>
      </c>
      <c r="F11" s="15">
        <v>8515</v>
      </c>
      <c r="G11" s="14" t="s">
        <v>9</v>
      </c>
      <c r="H11" s="15">
        <v>1597</v>
      </c>
      <c r="I11" s="15">
        <v>266.16666666666669</v>
      </c>
      <c r="J11" s="15">
        <v>351</v>
      </c>
    </row>
    <row r="12" spans="1:10" ht="15">
      <c r="A12" s="17">
        <v>200.76666666666668</v>
      </c>
      <c r="B12" s="17">
        <v>6023</v>
      </c>
      <c r="C12" s="17">
        <v>194.45161290322579</v>
      </c>
      <c r="D12" s="17">
        <v>6028</v>
      </c>
      <c r="E12" s="17">
        <v>211.73333333333332</v>
      </c>
      <c r="F12" s="17">
        <v>6352</v>
      </c>
      <c r="G12" s="16" t="s">
        <v>10</v>
      </c>
      <c r="H12" s="17">
        <v>1213</v>
      </c>
      <c r="I12" s="17">
        <v>202.16666666666666</v>
      </c>
      <c r="J12" s="17">
        <v>254</v>
      </c>
    </row>
    <row r="13" spans="1:10" ht="15">
      <c r="A13" s="17">
        <v>30.2</v>
      </c>
      <c r="B13" s="17">
        <v>906</v>
      </c>
      <c r="C13" s="17">
        <v>35.58064516129032</v>
      </c>
      <c r="D13" s="17">
        <v>1103</v>
      </c>
      <c r="E13" s="17">
        <v>37.5</v>
      </c>
      <c r="F13" s="17">
        <v>1125</v>
      </c>
      <c r="G13" s="16" t="s">
        <v>11</v>
      </c>
      <c r="H13" s="17">
        <v>201</v>
      </c>
      <c r="I13" s="17">
        <v>33.5</v>
      </c>
      <c r="J13" s="17">
        <v>47</v>
      </c>
    </row>
    <row r="14" spans="1:10" ht="15">
      <c r="A14" s="17">
        <v>25.866666666666667</v>
      </c>
      <c r="B14" s="17">
        <v>776</v>
      </c>
      <c r="C14" s="17">
        <v>27</v>
      </c>
      <c r="D14" s="17">
        <v>837</v>
      </c>
      <c r="E14" s="17">
        <v>31.4</v>
      </c>
      <c r="F14" s="17">
        <v>942</v>
      </c>
      <c r="G14" s="16" t="s">
        <v>12</v>
      </c>
      <c r="H14" s="17">
        <v>163</v>
      </c>
      <c r="I14" s="17">
        <v>27.166666666666668</v>
      </c>
      <c r="J14" s="17">
        <v>45</v>
      </c>
    </row>
    <row r="15" spans="1:10" ht="15">
      <c r="A15" s="17">
        <v>0.76666666666666672</v>
      </c>
      <c r="B15" s="17">
        <v>23</v>
      </c>
      <c r="C15" s="17">
        <v>0.83870967741935487</v>
      </c>
      <c r="D15" s="17">
        <v>26</v>
      </c>
      <c r="E15" s="17">
        <v>0.33333333333333331</v>
      </c>
      <c r="F15" s="17">
        <v>10</v>
      </c>
      <c r="G15" s="16" t="s">
        <v>13</v>
      </c>
      <c r="H15" s="17">
        <v>2</v>
      </c>
      <c r="I15" s="17">
        <v>0.33333333333333331</v>
      </c>
      <c r="J15" s="17">
        <v>1</v>
      </c>
    </row>
    <row r="16" spans="1:10" ht="15">
      <c r="A16" s="17">
        <v>2.6666666666666665</v>
      </c>
      <c r="B16" s="17">
        <v>80</v>
      </c>
      <c r="C16" s="17">
        <v>2.6451612903225805</v>
      </c>
      <c r="D16" s="17">
        <v>82</v>
      </c>
      <c r="E16" s="17">
        <v>2.8666666666666667</v>
      </c>
      <c r="F16" s="17">
        <v>86</v>
      </c>
      <c r="G16" s="16" t="s">
        <v>14</v>
      </c>
      <c r="H16" s="17">
        <v>18</v>
      </c>
      <c r="I16" s="17">
        <v>3</v>
      </c>
      <c r="J16" s="17">
        <v>4</v>
      </c>
    </row>
    <row r="17" spans="1:10" ht="15">
      <c r="A17" s="17"/>
      <c r="B17" s="17"/>
      <c r="C17" s="17"/>
      <c r="D17" s="17"/>
      <c r="E17" s="17"/>
      <c r="F17" s="17"/>
      <c r="G17" s="18"/>
      <c r="H17" s="17"/>
      <c r="I17" s="17"/>
      <c r="J17" s="17"/>
    </row>
    <row r="18" spans="1:10" ht="15">
      <c r="A18" s="17">
        <v>44.366666666666667</v>
      </c>
      <c r="B18" s="17">
        <v>1331</v>
      </c>
      <c r="C18" s="17">
        <v>44.58064516129032</v>
      </c>
      <c r="D18" s="17">
        <v>1382</v>
      </c>
      <c r="E18" s="17">
        <v>48.06666666666667</v>
      </c>
      <c r="F18" s="17">
        <v>1442</v>
      </c>
      <c r="G18" s="18" t="s">
        <v>15</v>
      </c>
      <c r="H18" s="17">
        <v>276</v>
      </c>
      <c r="I18" s="17">
        <v>46</v>
      </c>
      <c r="J18" s="17">
        <v>50</v>
      </c>
    </row>
    <row r="19" spans="1:10" ht="15">
      <c r="A19" s="17">
        <v>74.7</v>
      </c>
      <c r="B19" s="17">
        <v>2241</v>
      </c>
      <c r="C19" s="17">
        <v>80.064516129032256</v>
      </c>
      <c r="D19" s="17">
        <v>2482</v>
      </c>
      <c r="E19" s="17">
        <v>82.7</v>
      </c>
      <c r="F19" s="17">
        <v>2481</v>
      </c>
      <c r="G19" s="18" t="s">
        <v>16</v>
      </c>
      <c r="H19" s="17">
        <v>412</v>
      </c>
      <c r="I19" s="17">
        <v>68.666666666666671</v>
      </c>
      <c r="J19" s="17">
        <v>108</v>
      </c>
    </row>
    <row r="20" spans="1:10" ht="15">
      <c r="A20" s="17">
        <v>129.36666666666667</v>
      </c>
      <c r="B20" s="17">
        <v>3881</v>
      </c>
      <c r="C20" s="17">
        <v>124.6774193548387</v>
      </c>
      <c r="D20" s="17">
        <v>3865</v>
      </c>
      <c r="E20" s="17">
        <v>143.13333333333333</v>
      </c>
      <c r="F20" s="17">
        <v>4294</v>
      </c>
      <c r="G20" s="18" t="s">
        <v>17</v>
      </c>
      <c r="H20" s="17">
        <v>863</v>
      </c>
      <c r="I20" s="17">
        <v>143.83333333333334</v>
      </c>
      <c r="J20" s="17">
        <v>188</v>
      </c>
    </row>
    <row r="21" spans="1:10" ht="15">
      <c r="A21" s="17"/>
      <c r="B21" s="17"/>
      <c r="C21" s="17"/>
      <c r="D21" s="17"/>
      <c r="E21" s="17"/>
      <c r="F21" s="17"/>
      <c r="G21" s="18"/>
      <c r="H21" s="17"/>
      <c r="I21" s="17"/>
      <c r="J21" s="17"/>
    </row>
    <row r="22" spans="1:10" ht="15.75">
      <c r="A22" s="15">
        <v>262.5</v>
      </c>
      <c r="B22" s="15">
        <v>7875</v>
      </c>
      <c r="C22" s="15">
        <v>261.03225806451616</v>
      </c>
      <c r="D22" s="15">
        <v>8092</v>
      </c>
      <c r="E22" s="15">
        <v>281.93333333333334</v>
      </c>
      <c r="F22" s="15">
        <v>8458</v>
      </c>
      <c r="G22" s="14" t="s">
        <v>18</v>
      </c>
      <c r="H22" s="15">
        <v>1636</v>
      </c>
      <c r="I22" s="15">
        <v>272.66666666666669</v>
      </c>
      <c r="J22" s="15">
        <v>324</v>
      </c>
    </row>
    <row r="23" spans="1:10" ht="15">
      <c r="A23" s="17">
        <v>193.6</v>
      </c>
      <c r="B23" s="17">
        <v>5808</v>
      </c>
      <c r="C23" s="17">
        <v>189.64516129032259</v>
      </c>
      <c r="D23" s="17">
        <v>5879</v>
      </c>
      <c r="E23" s="17">
        <v>206.7</v>
      </c>
      <c r="F23" s="17">
        <v>6201</v>
      </c>
      <c r="G23" s="19" t="s">
        <v>10</v>
      </c>
      <c r="H23" s="17">
        <v>1214</v>
      </c>
      <c r="I23" s="17">
        <v>202.33333333333334</v>
      </c>
      <c r="J23" s="17">
        <v>240</v>
      </c>
    </row>
    <row r="24" spans="1:10" ht="15">
      <c r="A24" s="17">
        <v>38.43333333333333</v>
      </c>
      <c r="B24" s="17">
        <v>1153</v>
      </c>
      <c r="C24" s="17">
        <v>39.903225806451616</v>
      </c>
      <c r="D24" s="17">
        <v>1237</v>
      </c>
      <c r="E24" s="17">
        <v>40.733333333333334</v>
      </c>
      <c r="F24" s="17">
        <v>1222</v>
      </c>
      <c r="G24" s="19" t="s">
        <v>11</v>
      </c>
      <c r="H24" s="17">
        <v>233</v>
      </c>
      <c r="I24" s="17">
        <v>38.833333333333336</v>
      </c>
      <c r="J24" s="17">
        <v>51</v>
      </c>
    </row>
    <row r="25" spans="1:10" ht="15">
      <c r="A25" s="17">
        <v>26.8</v>
      </c>
      <c r="B25" s="17">
        <v>804</v>
      </c>
      <c r="C25" s="17">
        <v>27.161290322580644</v>
      </c>
      <c r="D25" s="17">
        <v>842</v>
      </c>
      <c r="E25" s="17">
        <v>31.633333333333333</v>
      </c>
      <c r="F25" s="17">
        <v>949</v>
      </c>
      <c r="G25" s="19" t="s">
        <v>12</v>
      </c>
      <c r="H25" s="17">
        <v>164</v>
      </c>
      <c r="I25" s="17">
        <v>27.333333333333332</v>
      </c>
      <c r="J25" s="17">
        <v>29</v>
      </c>
    </row>
    <row r="26" spans="1:10" ht="15">
      <c r="A26" s="17">
        <v>0.8666666666666667</v>
      </c>
      <c r="B26" s="17">
        <v>26</v>
      </c>
      <c r="C26" s="17">
        <v>0.67741935483870963</v>
      </c>
      <c r="D26" s="17">
        <v>21</v>
      </c>
      <c r="E26" s="17">
        <v>0.3</v>
      </c>
      <c r="F26" s="17">
        <v>9</v>
      </c>
      <c r="G26" s="19" t="s">
        <v>13</v>
      </c>
      <c r="H26" s="17">
        <v>3</v>
      </c>
      <c r="I26" s="17">
        <v>0.5</v>
      </c>
      <c r="J26" s="17">
        <v>0</v>
      </c>
    </row>
    <row r="27" spans="1:10" ht="15">
      <c r="A27" s="21">
        <v>2.8</v>
      </c>
      <c r="B27" s="21">
        <v>84</v>
      </c>
      <c r="C27" s="21">
        <v>3.6451612903225805</v>
      </c>
      <c r="D27" s="21">
        <v>113</v>
      </c>
      <c r="E27" s="21">
        <v>2.5666666666666669</v>
      </c>
      <c r="F27" s="21">
        <v>77</v>
      </c>
      <c r="G27" s="20" t="s">
        <v>19</v>
      </c>
      <c r="H27" s="21">
        <v>22</v>
      </c>
      <c r="I27" s="21">
        <v>3.6666666666666665</v>
      </c>
      <c r="J27" s="21">
        <v>4</v>
      </c>
    </row>
    <row r="28" spans="1:10" ht="15">
      <c r="A28" s="17"/>
      <c r="B28" s="17"/>
      <c r="C28" s="17"/>
      <c r="D28" s="17"/>
      <c r="E28" s="17"/>
      <c r="F28" s="17"/>
      <c r="G28" s="18"/>
      <c r="H28" s="17"/>
      <c r="I28" s="17"/>
      <c r="J28" s="17"/>
    </row>
    <row r="29" spans="1:10" ht="15">
      <c r="A29" s="17">
        <v>22.033333333333335</v>
      </c>
      <c r="B29" s="17">
        <v>661</v>
      </c>
      <c r="C29" s="17">
        <v>21.258064516129032</v>
      </c>
      <c r="D29" s="17">
        <v>659</v>
      </c>
      <c r="E29" s="17">
        <v>23.366666666666667</v>
      </c>
      <c r="F29" s="17">
        <v>701</v>
      </c>
      <c r="G29" s="18" t="s">
        <v>20</v>
      </c>
      <c r="H29" s="17">
        <v>126</v>
      </c>
      <c r="I29" s="17">
        <v>21</v>
      </c>
      <c r="J29" s="17">
        <v>31</v>
      </c>
    </row>
    <row r="30" spans="1:10" ht="15">
      <c r="A30" s="17"/>
      <c r="B30" s="17"/>
      <c r="C30" s="17"/>
      <c r="D30" s="17"/>
      <c r="E30" s="17"/>
      <c r="F30" s="17"/>
      <c r="G30" s="18"/>
      <c r="H30" s="17"/>
      <c r="I30" s="17"/>
      <c r="J30" s="17"/>
    </row>
    <row r="31" spans="1:10" ht="16.5">
      <c r="A31" s="15"/>
      <c r="B31" s="15"/>
      <c r="C31" s="15"/>
      <c r="D31" s="15"/>
      <c r="E31" s="15"/>
      <c r="F31" s="15"/>
      <c r="G31" s="22" t="s">
        <v>21</v>
      </c>
      <c r="H31" s="15"/>
      <c r="I31" s="15"/>
      <c r="J31" s="15"/>
    </row>
    <row r="32" spans="1:10" ht="15.75">
      <c r="A32" s="15">
        <v>7779345.0696666678</v>
      </c>
      <c r="B32" s="15">
        <v>233380352.09000003</v>
      </c>
      <c r="C32" s="15">
        <v>7946354.1077419352</v>
      </c>
      <c r="D32" s="15">
        <v>246336977.34</v>
      </c>
      <c r="E32" s="15">
        <v>8792161.6670000013</v>
      </c>
      <c r="F32" s="15">
        <v>263764850.01000002</v>
      </c>
      <c r="G32" s="9" t="s">
        <v>22</v>
      </c>
      <c r="H32" s="15">
        <v>48680148.519999996</v>
      </c>
      <c r="I32" s="15">
        <v>8113358.086666666</v>
      </c>
      <c r="J32" s="15">
        <v>14178896.98</v>
      </c>
    </row>
    <row r="33" spans="1:10" ht="15.75">
      <c r="A33" s="15">
        <v>18815569.685999997</v>
      </c>
      <c r="B33" s="15">
        <v>564467090.57999992</v>
      </c>
      <c r="C33" s="15">
        <v>18455359.695483871</v>
      </c>
      <c r="D33" s="15">
        <v>572116150.55999994</v>
      </c>
      <c r="E33" s="15">
        <v>19461735.821666669</v>
      </c>
      <c r="F33" s="15">
        <v>583852074.6500001</v>
      </c>
      <c r="G33" s="9" t="s">
        <v>23</v>
      </c>
      <c r="H33" s="15">
        <v>111193561.29999998</v>
      </c>
      <c r="I33" s="15">
        <v>18532260.216666665</v>
      </c>
      <c r="J33" s="15">
        <v>24910031.07</v>
      </c>
    </row>
    <row r="34" spans="1:10" ht="16.5">
      <c r="A34" s="24">
        <v>26594914.755666666</v>
      </c>
      <c r="B34" s="24">
        <v>797847442.66999996</v>
      </c>
      <c r="C34" s="24">
        <v>26401713.803225808</v>
      </c>
      <c r="D34" s="24">
        <v>818453127.89999998</v>
      </c>
      <c r="E34" s="24">
        <v>28253897.488666669</v>
      </c>
      <c r="F34" s="24">
        <v>847616924.66000009</v>
      </c>
      <c r="G34" s="23" t="s">
        <v>24</v>
      </c>
      <c r="H34" s="24">
        <v>159873709.81999999</v>
      </c>
      <c r="I34" s="24">
        <v>26645618.303333331</v>
      </c>
      <c r="J34" s="24">
        <v>39088928.049999997</v>
      </c>
    </row>
    <row r="35" spans="1:10" ht="15">
      <c r="A35" s="17"/>
      <c r="B35" s="17"/>
      <c r="C35" s="17"/>
      <c r="D35" s="17"/>
      <c r="E35" s="17"/>
      <c r="F35" s="17"/>
      <c r="G35" s="25"/>
      <c r="H35" s="17"/>
      <c r="I35" s="17"/>
      <c r="J35" s="17"/>
    </row>
    <row r="36" spans="1:10" ht="16.5">
      <c r="A36" s="17"/>
      <c r="B36" s="17"/>
      <c r="C36" s="17"/>
      <c r="D36" s="17"/>
      <c r="E36" s="17"/>
      <c r="F36" s="17"/>
      <c r="G36" s="22" t="s">
        <v>21</v>
      </c>
      <c r="H36" s="17"/>
      <c r="I36" s="17"/>
      <c r="J36" s="17"/>
    </row>
    <row r="37" spans="1:10" ht="15">
      <c r="A37" s="17">
        <v>25148845.672000002</v>
      </c>
      <c r="B37" s="17">
        <v>754465370.16000009</v>
      </c>
      <c r="C37" s="17">
        <v>24937813.347096771</v>
      </c>
      <c r="D37" s="17">
        <v>773072213.75999999</v>
      </c>
      <c r="E37" s="17">
        <v>27316637.163666669</v>
      </c>
      <c r="F37" s="17">
        <v>819499114.91000009</v>
      </c>
      <c r="G37" s="16" t="s">
        <v>25</v>
      </c>
      <c r="H37" s="17">
        <v>149684093.82999998</v>
      </c>
      <c r="I37" s="17">
        <v>24947348.971666664</v>
      </c>
      <c r="J37" s="17">
        <v>38383521.969999999</v>
      </c>
    </row>
    <row r="38" spans="1:10" ht="15">
      <c r="A38" s="17">
        <v>1446069.0843333332</v>
      </c>
      <c r="B38" s="17">
        <v>43382072.529999994</v>
      </c>
      <c r="C38" s="17">
        <v>1463900.4564516128</v>
      </c>
      <c r="D38" s="17">
        <v>45380914.149999999</v>
      </c>
      <c r="E38" s="17">
        <v>937260.32499999995</v>
      </c>
      <c r="F38" s="17">
        <v>28117809.75</v>
      </c>
      <c r="G38" s="16" t="s">
        <v>26</v>
      </c>
      <c r="H38" s="17">
        <v>10189615.890000001</v>
      </c>
      <c r="I38" s="17">
        <v>1698269.3150000002</v>
      </c>
      <c r="J38" s="17">
        <v>705405.98</v>
      </c>
    </row>
    <row r="39" spans="1:10" ht="16.5">
      <c r="A39" s="24">
        <v>26594914.756333336</v>
      </c>
      <c r="B39" s="24">
        <v>797847442.69000006</v>
      </c>
      <c r="C39" s="24">
        <v>26401713.803548384</v>
      </c>
      <c r="D39" s="24">
        <v>818453127.90999997</v>
      </c>
      <c r="E39" s="24">
        <v>28253897.488666669</v>
      </c>
      <c r="F39" s="24">
        <v>847616924.66000009</v>
      </c>
      <c r="G39" s="23" t="s">
        <v>24</v>
      </c>
      <c r="H39" s="24">
        <v>159873709.72</v>
      </c>
      <c r="I39" s="24">
        <v>26645618.286666665</v>
      </c>
      <c r="J39" s="24">
        <v>39088927.949999996</v>
      </c>
    </row>
    <row r="40" spans="1:10" ht="15">
      <c r="A40" s="17"/>
      <c r="B40" s="17"/>
      <c r="C40" s="17"/>
      <c r="D40" s="17"/>
      <c r="E40" s="17"/>
      <c r="F40" s="17"/>
      <c r="G40" s="25"/>
      <c r="H40" s="17"/>
      <c r="I40" s="17"/>
      <c r="J40" s="17"/>
    </row>
    <row r="41" spans="1:10" ht="16.5">
      <c r="A41" s="17"/>
      <c r="B41" s="17"/>
      <c r="C41" s="17"/>
      <c r="D41" s="17"/>
      <c r="E41" s="17"/>
      <c r="F41" s="17"/>
      <c r="G41" s="22" t="s">
        <v>21</v>
      </c>
      <c r="H41" s="17"/>
      <c r="I41" s="17"/>
      <c r="J41" s="17"/>
    </row>
    <row r="42" spans="1:10" ht="16.5">
      <c r="A42" s="17"/>
      <c r="B42" s="17"/>
      <c r="C42" s="17"/>
      <c r="D42" s="17"/>
      <c r="E42" s="17"/>
      <c r="F42" s="17"/>
      <c r="G42" s="22"/>
      <c r="H42" s="17"/>
      <c r="I42" s="17"/>
      <c r="J42" s="17"/>
    </row>
    <row r="43" spans="1:10" ht="18">
      <c r="A43" s="15"/>
      <c r="B43" s="15"/>
      <c r="C43" s="15"/>
      <c r="D43" s="15"/>
      <c r="E43" s="15"/>
      <c r="F43" s="15"/>
      <c r="G43" s="26" t="s">
        <v>27</v>
      </c>
      <c r="H43" s="15"/>
      <c r="I43" s="15"/>
      <c r="J43" s="15"/>
    </row>
    <row r="44" spans="1:10" ht="15.75">
      <c r="A44" s="15">
        <v>15356913.085000003</v>
      </c>
      <c r="B44" s="15">
        <v>460707392.55000007</v>
      </c>
      <c r="C44" s="15">
        <v>14745637.771290321</v>
      </c>
      <c r="D44" s="15">
        <v>457114770.90999997</v>
      </c>
      <c r="E44" s="15">
        <v>16356440.978333334</v>
      </c>
      <c r="F44" s="15">
        <v>490693229.35000002</v>
      </c>
      <c r="G44" s="9" t="s">
        <v>25</v>
      </c>
      <c r="H44" s="15">
        <v>89500779.180000007</v>
      </c>
      <c r="I44" s="15">
        <v>14916796.530000001</v>
      </c>
      <c r="J44" s="15">
        <v>21825008.43</v>
      </c>
    </row>
    <row r="45" spans="1:10" ht="15.75">
      <c r="A45" s="15">
        <v>312972.73099999991</v>
      </c>
      <c r="B45" s="15">
        <v>9389181.9299999978</v>
      </c>
      <c r="C45" s="15">
        <v>479109.62870967743</v>
      </c>
      <c r="D45" s="15">
        <v>14852398.49</v>
      </c>
      <c r="E45" s="15">
        <v>396202.71733333333</v>
      </c>
      <c r="F45" s="15">
        <v>11886081.52</v>
      </c>
      <c r="G45" s="9" t="s">
        <v>26</v>
      </c>
      <c r="H45" s="15">
        <v>2455599.1999999997</v>
      </c>
      <c r="I45" s="15">
        <v>409266.53333333327</v>
      </c>
      <c r="J45" s="15">
        <v>604064.32999999996</v>
      </c>
    </row>
    <row r="46" spans="1:10" ht="15">
      <c r="A46" s="15"/>
      <c r="B46" s="15"/>
      <c r="C46" s="15"/>
      <c r="D46" s="15"/>
      <c r="E46" s="15"/>
      <c r="F46" s="15"/>
      <c r="G46" s="16"/>
      <c r="H46" s="15"/>
      <c r="I46" s="15"/>
      <c r="J46" s="15"/>
    </row>
    <row r="47" spans="1:10" ht="18">
      <c r="A47" s="15"/>
      <c r="B47" s="15"/>
      <c r="C47" s="15"/>
      <c r="D47" s="15"/>
      <c r="E47" s="15"/>
      <c r="F47" s="15"/>
      <c r="G47" s="26" t="s">
        <v>28</v>
      </c>
      <c r="H47" s="15"/>
      <c r="I47" s="15"/>
      <c r="J47" s="15"/>
    </row>
    <row r="48" spans="1:10" ht="15.75">
      <c r="A48" s="15">
        <v>9791932.5869999994</v>
      </c>
      <c r="B48" s="15">
        <v>293757977.61000001</v>
      </c>
      <c r="C48" s="15">
        <v>10192175.57580645</v>
      </c>
      <c r="D48" s="15">
        <v>315957442.84999996</v>
      </c>
      <c r="E48" s="15">
        <v>10960186.185333334</v>
      </c>
      <c r="F48" s="15">
        <v>328805585.56</v>
      </c>
      <c r="G48" s="9" t="s">
        <v>25</v>
      </c>
      <c r="H48" s="15">
        <v>60183314.649999999</v>
      </c>
      <c r="I48" s="15">
        <v>10030552.441666666</v>
      </c>
      <c r="J48" s="15">
        <v>16558513.539999999</v>
      </c>
    </row>
    <row r="49" spans="1:10" ht="15">
      <c r="A49" s="17">
        <v>2956538.4573333329</v>
      </c>
      <c r="B49" s="17">
        <v>88696153.719999984</v>
      </c>
      <c r="C49" s="17">
        <v>2837884.3412903226</v>
      </c>
      <c r="D49" s="17">
        <v>87974414.579999998</v>
      </c>
      <c r="E49" s="17">
        <v>3193959.7213333328</v>
      </c>
      <c r="F49" s="17">
        <v>95818791.639999986</v>
      </c>
      <c r="G49" s="16" t="s">
        <v>29</v>
      </c>
      <c r="H49" s="17">
        <v>18692464.609999999</v>
      </c>
      <c r="I49" s="17">
        <v>3115410.7683333331</v>
      </c>
      <c r="J49" s="17">
        <v>3941063.17</v>
      </c>
    </row>
    <row r="50" spans="1:10" ht="15">
      <c r="A50" s="17">
        <v>114988.73699999999</v>
      </c>
      <c r="B50" s="17">
        <v>3449662.11</v>
      </c>
      <c r="C50" s="17">
        <v>115145.89548387098</v>
      </c>
      <c r="D50" s="17">
        <v>3569522.7600000002</v>
      </c>
      <c r="E50" s="17">
        <v>64290.700333333334</v>
      </c>
      <c r="F50" s="17">
        <v>1928721.01</v>
      </c>
      <c r="G50" s="16" t="s">
        <v>30</v>
      </c>
      <c r="H50" s="17">
        <v>80957.990000000005</v>
      </c>
      <c r="I50" s="17">
        <v>13492.998333333335</v>
      </c>
      <c r="J50" s="17"/>
    </row>
    <row r="51" spans="1:10" ht="15">
      <c r="A51" s="17">
        <v>5792975.1653333334</v>
      </c>
      <c r="B51" s="17">
        <v>173789254.96000001</v>
      </c>
      <c r="C51" s="17">
        <v>6153580.188387095</v>
      </c>
      <c r="D51" s="17">
        <v>190760985.83999994</v>
      </c>
      <c r="E51" s="17">
        <v>6843860.5746666668</v>
      </c>
      <c r="F51" s="17">
        <v>205315817.24000001</v>
      </c>
      <c r="G51" s="16" t="s">
        <v>31</v>
      </c>
      <c r="H51" s="17">
        <v>35629668.490000002</v>
      </c>
      <c r="I51" s="17">
        <v>5938278.081666667</v>
      </c>
      <c r="J51" s="17">
        <v>11317262.609999999</v>
      </c>
    </row>
    <row r="52" spans="1:10" ht="15">
      <c r="A52" s="17">
        <v>927430.22733333323</v>
      </c>
      <c r="B52" s="17">
        <v>27822906.819999997</v>
      </c>
      <c r="C52" s="17">
        <v>1085565.150645161</v>
      </c>
      <c r="D52" s="17">
        <v>33652519.669999994</v>
      </c>
      <c r="E52" s="17">
        <v>858075.18900000001</v>
      </c>
      <c r="F52" s="17">
        <v>25742255.670000002</v>
      </c>
      <c r="G52" s="16" t="s">
        <v>32</v>
      </c>
      <c r="H52" s="17">
        <v>5780223.5600000005</v>
      </c>
      <c r="I52" s="17">
        <v>963370.59333333338</v>
      </c>
      <c r="J52" s="17">
        <v>1300187.76</v>
      </c>
    </row>
    <row r="53" spans="1:10" ht="15">
      <c r="A53" s="17"/>
      <c r="B53" s="17"/>
      <c r="C53" s="17"/>
      <c r="D53" s="17"/>
      <c r="E53" s="17"/>
      <c r="F53" s="17"/>
      <c r="G53" s="16"/>
      <c r="H53" s="17"/>
      <c r="I53" s="17"/>
      <c r="J53" s="17"/>
    </row>
    <row r="54" spans="1:10" ht="15.75">
      <c r="A54" s="15">
        <v>1133096.3533333333</v>
      </c>
      <c r="B54" s="15">
        <v>33992890.599999994</v>
      </c>
      <c r="C54" s="15">
        <v>984790.82774193527</v>
      </c>
      <c r="D54" s="15">
        <v>30528515.659999996</v>
      </c>
      <c r="E54" s="15">
        <v>541067.60666666657</v>
      </c>
      <c r="F54" s="15">
        <v>16232028.199999997</v>
      </c>
      <c r="G54" s="9" t="s">
        <v>26</v>
      </c>
      <c r="H54" s="15">
        <v>7734016.6899999995</v>
      </c>
      <c r="I54" s="15">
        <v>1289002.7816666665</v>
      </c>
      <c r="J54" s="15">
        <v>101341.65</v>
      </c>
    </row>
    <row r="55" spans="1:10" ht="15">
      <c r="A55" s="17">
        <v>1041864.0303333332</v>
      </c>
      <c r="B55" s="17">
        <v>31255920.909999996</v>
      </c>
      <c r="C55" s="17">
        <v>707343.24677419337</v>
      </c>
      <c r="D55" s="17">
        <v>21927640.649999995</v>
      </c>
      <c r="E55" s="17">
        <v>405154.02133333322</v>
      </c>
      <c r="F55" s="17">
        <v>12154620.639999997</v>
      </c>
      <c r="G55" s="16" t="s">
        <v>33</v>
      </c>
      <c r="H55" s="17">
        <v>7734016.6899999995</v>
      </c>
      <c r="I55" s="17">
        <v>1289002.7816666665</v>
      </c>
      <c r="J55" s="17">
        <v>101341.65</v>
      </c>
    </row>
    <row r="56" spans="1:10" ht="15">
      <c r="A56" s="17">
        <v>91232.323000000004</v>
      </c>
      <c r="B56" s="17">
        <v>2736969.69</v>
      </c>
      <c r="C56" s="17">
        <v>277447.5809677419</v>
      </c>
      <c r="D56" s="17">
        <v>8600875.0099999998</v>
      </c>
      <c r="E56" s="17">
        <v>135913.58533333332</v>
      </c>
      <c r="F56" s="17">
        <v>4077407.56</v>
      </c>
      <c r="G56" s="16" t="s">
        <v>32</v>
      </c>
      <c r="H56" s="17">
        <v>0</v>
      </c>
      <c r="I56" s="17">
        <v>0</v>
      </c>
      <c r="J56" s="17"/>
    </row>
    <row r="57" spans="1:10" ht="16.5">
      <c r="A57" s="24">
        <v>26594914.756333336</v>
      </c>
      <c r="B57" s="24">
        <v>797847442.69000018</v>
      </c>
      <c r="C57" s="24">
        <v>26401713.803548384</v>
      </c>
      <c r="D57" s="24">
        <v>818453127.90999997</v>
      </c>
      <c r="E57" s="24">
        <v>28253897.48766667</v>
      </c>
      <c r="F57" s="24">
        <v>847616924.63000011</v>
      </c>
      <c r="G57" s="23" t="s">
        <v>24</v>
      </c>
      <c r="H57" s="24">
        <v>159873709.72</v>
      </c>
      <c r="I57" s="24">
        <v>26645618.286666665</v>
      </c>
      <c r="J57" s="24">
        <v>39088927.949999996</v>
      </c>
    </row>
    <row r="58" spans="1:10" ht="15">
      <c r="A58" s="15"/>
      <c r="B58" s="15"/>
      <c r="C58" s="15"/>
      <c r="D58" s="15"/>
      <c r="E58" s="15"/>
      <c r="F58" s="15"/>
      <c r="G58" s="25"/>
      <c r="H58" s="15"/>
      <c r="I58" s="15"/>
      <c r="J58" s="15"/>
    </row>
    <row r="59" spans="1:10" ht="19.5">
      <c r="A59" s="31"/>
      <c r="B59" s="31"/>
      <c r="C59" s="31"/>
      <c r="D59" s="31"/>
      <c r="E59" s="31"/>
      <c r="F59" s="31"/>
      <c r="G59" s="25"/>
      <c r="H59" s="31"/>
      <c r="I59" s="31"/>
      <c r="J59" s="31"/>
    </row>
    <row r="60" spans="1:10" ht="16.5">
      <c r="A60" s="28">
        <v>8167677.291333341</v>
      </c>
      <c r="B60" s="28">
        <v>245030318.74000022</v>
      </c>
      <c r="C60" s="28">
        <v>8148915.1151612997</v>
      </c>
      <c r="D60" s="28">
        <v>252616368.57000029</v>
      </c>
      <c r="E60" s="28">
        <v>8480982.3639999963</v>
      </c>
      <c r="F60" s="28">
        <v>254429470.91999987</v>
      </c>
      <c r="G60" s="27" t="s">
        <v>34</v>
      </c>
      <c r="H60" s="28">
        <v>48248878.010000013</v>
      </c>
      <c r="I60" s="28">
        <v>8041479.6683333358</v>
      </c>
      <c r="J60" s="28">
        <v>9557075.8500000183</v>
      </c>
    </row>
    <row r="61" spans="1:10" ht="16.5">
      <c r="A61" s="15"/>
      <c r="B61" s="15"/>
      <c r="C61" s="15"/>
      <c r="D61" s="15"/>
      <c r="E61" s="15"/>
      <c r="F61" s="15"/>
      <c r="G61" s="22"/>
      <c r="H61" s="15"/>
      <c r="I61" s="15"/>
      <c r="J61" s="15"/>
    </row>
    <row r="62" spans="1:10" ht="15">
      <c r="A62" s="17"/>
      <c r="B62" s="17"/>
      <c r="C62" s="17"/>
      <c r="D62" s="17"/>
      <c r="E62" s="17"/>
      <c r="F62" s="17"/>
      <c r="G62" s="25"/>
      <c r="H62" s="17"/>
      <c r="I62" s="17"/>
      <c r="J62" s="17"/>
    </row>
    <row r="63" spans="1:10" ht="16.5">
      <c r="A63" s="24">
        <v>18427237.464999996</v>
      </c>
      <c r="B63" s="24">
        <v>552817123.94999993</v>
      </c>
      <c r="C63" s="24">
        <v>18252798.688387085</v>
      </c>
      <c r="D63" s="24">
        <v>565836759.33999968</v>
      </c>
      <c r="E63" s="24">
        <v>19772915.123666678</v>
      </c>
      <c r="F63" s="24">
        <v>593187453.71000028</v>
      </c>
      <c r="G63" s="23" t="s">
        <v>35</v>
      </c>
      <c r="H63" s="24">
        <v>111624831.70999998</v>
      </c>
      <c r="I63" s="24">
        <v>18604138.618333329</v>
      </c>
      <c r="J63" s="24">
        <v>29531852.099999979</v>
      </c>
    </row>
    <row r="64" spans="1:10" ht="15">
      <c r="A64" s="17"/>
      <c r="B64" s="17"/>
      <c r="C64" s="17"/>
      <c r="D64" s="17"/>
      <c r="E64" s="17"/>
      <c r="F64" s="17"/>
      <c r="G64" s="25"/>
      <c r="H64" s="17"/>
      <c r="I64" s="17"/>
      <c r="J64" s="17"/>
    </row>
    <row r="65" spans="1:10" ht="15">
      <c r="A65" s="17"/>
      <c r="B65" s="17"/>
      <c r="C65" s="17"/>
      <c r="D65" s="17"/>
      <c r="E65" s="17"/>
      <c r="F65" s="17"/>
      <c r="G65" s="25"/>
      <c r="H65" s="17"/>
      <c r="I65" s="17"/>
      <c r="J65" s="17"/>
    </row>
    <row r="66" spans="1:10" ht="16.5">
      <c r="A66" s="15"/>
      <c r="B66" s="15"/>
      <c r="C66" s="15"/>
      <c r="D66" s="15"/>
      <c r="E66" s="15"/>
      <c r="F66" s="15"/>
      <c r="G66" s="22" t="s">
        <v>36</v>
      </c>
      <c r="H66" s="15"/>
      <c r="I66" s="15"/>
      <c r="J66" s="15"/>
    </row>
    <row r="67" spans="1:10" ht="15">
      <c r="A67" s="17">
        <v>5910105.9333399972</v>
      </c>
      <c r="B67" s="17">
        <v>177303178.00019991</v>
      </c>
      <c r="C67" s="17">
        <v>5866329.9354838692</v>
      </c>
      <c r="D67" s="17">
        <v>181856227.99999994</v>
      </c>
      <c r="E67" s="17">
        <v>5787811.3000699989</v>
      </c>
      <c r="F67" s="17">
        <v>173634339.00209996</v>
      </c>
      <c r="G67" s="16" t="s">
        <v>37</v>
      </c>
      <c r="H67" s="17">
        <v>25171038.000000007</v>
      </c>
      <c r="I67" s="17">
        <v>4195173.0000000009</v>
      </c>
      <c r="J67" s="17">
        <v>8617640</v>
      </c>
    </row>
    <row r="68" spans="1:10" ht="15">
      <c r="A68" s="17">
        <v>11196551.166666666</v>
      </c>
      <c r="B68" s="17">
        <v>335896535</v>
      </c>
      <c r="C68" s="17">
        <v>10592793.677419355</v>
      </c>
      <c r="D68" s="17">
        <v>328376604</v>
      </c>
      <c r="E68" s="17">
        <v>10760387.4</v>
      </c>
      <c r="F68" s="17">
        <v>322811622</v>
      </c>
      <c r="G68" s="16" t="s">
        <v>38</v>
      </c>
      <c r="H68" s="17">
        <v>59191461</v>
      </c>
      <c r="I68" s="17">
        <v>9865243.5</v>
      </c>
      <c r="J68" s="17">
        <v>14083422</v>
      </c>
    </row>
    <row r="69" spans="1:10" ht="15">
      <c r="A69" s="17">
        <v>14119849.986333333</v>
      </c>
      <c r="B69" s="17">
        <v>423595499.58999997</v>
      </c>
      <c r="C69" s="17">
        <v>12954746.589999998</v>
      </c>
      <c r="D69" s="17">
        <v>402540199.28999996</v>
      </c>
      <c r="E69" s="17">
        <v>18774984.126666665</v>
      </c>
      <c r="F69" s="17">
        <v>563249523.79999995</v>
      </c>
      <c r="G69" s="16" t="s">
        <v>39</v>
      </c>
      <c r="H69" s="17">
        <v>58663743.519999996</v>
      </c>
      <c r="I69" s="17">
        <v>9777290.586666666</v>
      </c>
      <c r="J69" s="17">
        <v>16631084.699999999</v>
      </c>
    </row>
    <row r="70" spans="1:10" ht="15">
      <c r="A70" s="17">
        <v>0</v>
      </c>
      <c r="B70" s="17">
        <v>0</v>
      </c>
      <c r="C70" s="17">
        <v>577.29032258064512</v>
      </c>
      <c r="D70" s="17">
        <v>17896</v>
      </c>
      <c r="E70" s="17">
        <v>400494.33333333331</v>
      </c>
      <c r="F70" s="17">
        <v>12014830</v>
      </c>
      <c r="G70" s="16" t="s">
        <v>40</v>
      </c>
      <c r="H70" s="17">
        <v>0</v>
      </c>
      <c r="I70" s="17">
        <v>0</v>
      </c>
      <c r="J70" s="17">
        <v>0</v>
      </c>
    </row>
    <row r="71" spans="1:10" ht="15">
      <c r="A71" s="17">
        <v>58626.23333333333</v>
      </c>
      <c r="B71" s="17">
        <v>1758787</v>
      </c>
      <c r="C71" s="17">
        <v>33986.806451612902</v>
      </c>
      <c r="D71" s="17">
        <v>1053591</v>
      </c>
      <c r="E71" s="17">
        <v>222898.26666666666</v>
      </c>
      <c r="F71" s="17">
        <v>6686948</v>
      </c>
      <c r="G71" s="29" t="s">
        <v>41</v>
      </c>
      <c r="H71" s="17">
        <v>1267186</v>
      </c>
      <c r="I71" s="17">
        <v>211197.66666666666</v>
      </c>
      <c r="J71" s="17">
        <v>207607</v>
      </c>
    </row>
    <row r="72" spans="1:10" ht="15">
      <c r="A72" s="17">
        <v>1888063.8</v>
      </c>
      <c r="B72" s="17">
        <v>56641914</v>
      </c>
      <c r="C72" s="17">
        <v>2239699.4954838711</v>
      </c>
      <c r="D72" s="17">
        <v>69430684.359999999</v>
      </c>
      <c r="E72" s="17">
        <v>1608721.9666666666</v>
      </c>
      <c r="F72" s="17">
        <v>48261659</v>
      </c>
      <c r="G72" s="29" t="s">
        <v>42</v>
      </c>
      <c r="H72" s="17">
        <v>9784321</v>
      </c>
      <c r="I72" s="17">
        <v>1630720.1666666667</v>
      </c>
      <c r="J72" s="17">
        <v>2543568</v>
      </c>
    </row>
    <row r="73" spans="1:10" ht="17.25" thickBot="1">
      <c r="A73" s="24">
        <v>29279817.053006701</v>
      </c>
      <c r="B73" s="24">
        <v>878394511.59019995</v>
      </c>
      <c r="C73" s="24">
        <v>27140761.191290319</v>
      </c>
      <c r="D73" s="24">
        <v>842306651.92999995</v>
      </c>
      <c r="E73" s="24">
        <v>33892056.926736668</v>
      </c>
      <c r="F73" s="24">
        <v>1016761707.8020999</v>
      </c>
      <c r="G73" s="30" t="s">
        <v>43</v>
      </c>
      <c r="H73" s="24">
        <v>131974735.52000003</v>
      </c>
      <c r="I73" s="24">
        <v>21995789.253333338</v>
      </c>
      <c r="J73" s="24">
        <v>36580971.700000003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opLeftCell="A35" workbookViewId="0">
      <selection sqref="A1:J73"/>
    </sheetView>
  </sheetViews>
  <sheetFormatPr defaultRowHeight="14.25"/>
  <cols>
    <col min="1" max="1" width="14" customWidth="1"/>
    <col min="2" max="3" width="13.125" customWidth="1"/>
    <col min="4" max="4" width="13" customWidth="1"/>
    <col min="5" max="5" width="12.75" customWidth="1"/>
    <col min="6" max="6" width="14.375" customWidth="1"/>
    <col min="7" max="7" width="41.25" customWidth="1"/>
    <col min="8" max="8" width="14.125" customWidth="1"/>
    <col min="9" max="9" width="15.125" customWidth="1"/>
    <col min="10" max="10" width="12.375" customWidth="1"/>
    <col min="11" max="11" width="12.25" customWidth="1"/>
    <col min="13" max="13" width="12.25" customWidth="1"/>
  </cols>
  <sheetData>
    <row r="1" spans="1:10" ht="45.75" thickBot="1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95</v>
      </c>
      <c r="G1" s="3" t="s">
        <v>1</v>
      </c>
      <c r="H1" s="4" t="s">
        <v>88</v>
      </c>
      <c r="I1" s="4" t="s">
        <v>89</v>
      </c>
      <c r="J1" s="4" t="s">
        <v>94</v>
      </c>
    </row>
    <row r="2" spans="1:10" ht="15.75">
      <c r="A2" s="6"/>
      <c r="B2" s="6"/>
      <c r="C2" s="6"/>
      <c r="D2" s="6"/>
      <c r="E2" s="6"/>
      <c r="F2" s="6"/>
      <c r="G2" s="5"/>
      <c r="H2" s="6"/>
      <c r="I2" s="6"/>
      <c r="J2" s="6"/>
    </row>
    <row r="3" spans="1:10" ht="16.5">
      <c r="A3" s="8"/>
      <c r="B3" s="8"/>
      <c r="C3" s="8"/>
      <c r="D3" s="8"/>
      <c r="E3" s="8"/>
      <c r="F3" s="8"/>
      <c r="G3" s="7" t="s">
        <v>2</v>
      </c>
      <c r="H3" s="8"/>
      <c r="I3" s="8"/>
      <c r="J3" s="8"/>
    </row>
    <row r="4" spans="1:10" ht="15.75">
      <c r="A4" s="8">
        <v>1000</v>
      </c>
      <c r="B4" s="8">
        <v>1000</v>
      </c>
      <c r="C4" s="8">
        <v>1000</v>
      </c>
      <c r="D4" s="8">
        <v>1000</v>
      </c>
      <c r="E4" s="8">
        <v>1000</v>
      </c>
      <c r="F4" s="8">
        <v>30000</v>
      </c>
      <c r="G4" s="9" t="s">
        <v>3</v>
      </c>
      <c r="H4" s="8">
        <v>5000</v>
      </c>
      <c r="I4" s="8">
        <v>1000</v>
      </c>
      <c r="J4" s="8">
        <v>1000</v>
      </c>
    </row>
    <row r="5" spans="1:10" ht="15.75">
      <c r="A5" s="32">
        <v>930.33333333333337</v>
      </c>
      <c r="B5" s="32">
        <v>930.33333333333337</v>
      </c>
      <c r="C5" s="33">
        <v>967</v>
      </c>
      <c r="D5" s="33">
        <v>967</v>
      </c>
      <c r="E5" s="33">
        <v>983.5</v>
      </c>
      <c r="F5" s="8">
        <v>29505</v>
      </c>
      <c r="G5" s="9" t="s">
        <v>4</v>
      </c>
      <c r="H5" s="8">
        <v>4614</v>
      </c>
      <c r="I5" s="33">
        <v>922.8</v>
      </c>
      <c r="J5" s="8">
        <v>880</v>
      </c>
    </row>
    <row r="6" spans="1:10" ht="16.5">
      <c r="A6" s="11">
        <v>0.93033333333333335</v>
      </c>
      <c r="B6" s="11">
        <v>0.93033333333333335</v>
      </c>
      <c r="C6" s="11">
        <v>0.96699999999999997</v>
      </c>
      <c r="D6" s="11">
        <v>0.96699999999999997</v>
      </c>
      <c r="E6" s="11">
        <v>0.98350000000000004</v>
      </c>
      <c r="F6" s="11">
        <v>0.98350000000000004</v>
      </c>
      <c r="G6" s="10" t="s">
        <v>5</v>
      </c>
      <c r="H6" s="11">
        <v>0.92279999999999995</v>
      </c>
      <c r="I6" s="11">
        <v>0.92279999999999995</v>
      </c>
      <c r="J6" s="11">
        <v>0.88</v>
      </c>
    </row>
    <row r="7" spans="1:10" ht="15">
      <c r="A7" s="32"/>
      <c r="B7" s="32"/>
      <c r="C7" s="32"/>
      <c r="D7" s="32"/>
      <c r="E7" s="32"/>
      <c r="F7" s="32"/>
      <c r="G7" s="12"/>
      <c r="H7" s="32"/>
      <c r="I7" s="32"/>
      <c r="J7" s="32"/>
    </row>
    <row r="8" spans="1:10" ht="16.5">
      <c r="A8" s="32"/>
      <c r="B8" s="32"/>
      <c r="C8" s="32"/>
      <c r="D8" s="32"/>
      <c r="E8" s="32"/>
      <c r="F8" s="32"/>
      <c r="G8" s="13" t="s">
        <v>6</v>
      </c>
      <c r="H8" s="32"/>
      <c r="I8" s="32"/>
      <c r="J8" s="32"/>
    </row>
    <row r="9" spans="1:10" ht="15.75">
      <c r="A9" s="15">
        <v>345.4</v>
      </c>
      <c r="B9" s="15">
        <v>10362</v>
      </c>
      <c r="C9" s="15">
        <v>356.48387096774195</v>
      </c>
      <c r="D9" s="15">
        <v>11051</v>
      </c>
      <c r="E9" s="15">
        <v>386.16666666666669</v>
      </c>
      <c r="F9" s="15">
        <v>11585</v>
      </c>
      <c r="G9" s="14" t="s">
        <v>7</v>
      </c>
      <c r="H9" s="15">
        <v>1691</v>
      </c>
      <c r="I9" s="15">
        <v>338.2</v>
      </c>
      <c r="J9" s="15">
        <v>54</v>
      </c>
    </row>
    <row r="10" spans="1:10" ht="15.75">
      <c r="A10" s="15">
        <v>3003.3666666666668</v>
      </c>
      <c r="B10" s="15">
        <v>90101</v>
      </c>
      <c r="C10" s="15">
        <v>3099.8064516129034</v>
      </c>
      <c r="D10" s="15">
        <v>96094</v>
      </c>
      <c r="E10" s="15">
        <v>3273.0333333333333</v>
      </c>
      <c r="F10" s="15">
        <v>98191</v>
      </c>
      <c r="G10" s="14" t="s">
        <v>8</v>
      </c>
      <c r="H10" s="15">
        <v>15072</v>
      </c>
      <c r="I10" s="15">
        <v>3014.4</v>
      </c>
      <c r="J10" s="15">
        <v>130</v>
      </c>
    </row>
    <row r="11" spans="1:10" ht="15.75">
      <c r="A11" s="15">
        <v>260.26666666666665</v>
      </c>
      <c r="B11" s="15">
        <v>7808</v>
      </c>
      <c r="C11" s="15">
        <v>260.51612903225799</v>
      </c>
      <c r="D11" s="15">
        <v>8076</v>
      </c>
      <c r="E11" s="15">
        <v>283.83333333333331</v>
      </c>
      <c r="F11" s="15">
        <v>8515</v>
      </c>
      <c r="G11" s="14" t="s">
        <v>9</v>
      </c>
      <c r="H11" s="15">
        <v>1246</v>
      </c>
      <c r="I11" s="15">
        <v>249.2</v>
      </c>
      <c r="J11" s="15">
        <v>108</v>
      </c>
    </row>
    <row r="12" spans="1:10" ht="15">
      <c r="A12" s="17">
        <v>200.76666666666668</v>
      </c>
      <c r="B12" s="17">
        <v>6023</v>
      </c>
      <c r="C12" s="17">
        <v>194.45161290322579</v>
      </c>
      <c r="D12" s="17">
        <v>6028</v>
      </c>
      <c r="E12" s="17">
        <v>211.73333333333332</v>
      </c>
      <c r="F12" s="17">
        <v>6352</v>
      </c>
      <c r="G12" s="16" t="s">
        <v>10</v>
      </c>
      <c r="H12" s="17">
        <v>959</v>
      </c>
      <c r="I12" s="17">
        <v>191.8</v>
      </c>
      <c r="J12" s="17">
        <v>78</v>
      </c>
    </row>
    <row r="13" spans="1:10" ht="15">
      <c r="A13" s="17">
        <v>30.2</v>
      </c>
      <c r="B13" s="17">
        <v>906</v>
      </c>
      <c r="C13" s="17">
        <v>35.58064516129032</v>
      </c>
      <c r="D13" s="17">
        <v>1103</v>
      </c>
      <c r="E13" s="17">
        <v>37.5</v>
      </c>
      <c r="F13" s="17">
        <v>1125</v>
      </c>
      <c r="G13" s="16" t="s">
        <v>11</v>
      </c>
      <c r="H13" s="17">
        <v>154</v>
      </c>
      <c r="I13" s="17">
        <v>30.8</v>
      </c>
      <c r="J13" s="17">
        <v>18</v>
      </c>
    </row>
    <row r="14" spans="1:10" ht="15">
      <c r="A14" s="17">
        <v>25.866666666666667</v>
      </c>
      <c r="B14" s="17">
        <v>776</v>
      </c>
      <c r="C14" s="17">
        <v>27</v>
      </c>
      <c r="D14" s="17">
        <v>837</v>
      </c>
      <c r="E14" s="17">
        <v>31.4</v>
      </c>
      <c r="F14" s="17">
        <v>942</v>
      </c>
      <c r="G14" s="16" t="s">
        <v>12</v>
      </c>
      <c r="H14" s="17">
        <v>118</v>
      </c>
      <c r="I14" s="17">
        <v>23.6</v>
      </c>
      <c r="J14" s="17">
        <v>11</v>
      </c>
    </row>
    <row r="15" spans="1:10" ht="15">
      <c r="A15" s="17">
        <v>0.76666666666666672</v>
      </c>
      <c r="B15" s="17">
        <v>23</v>
      </c>
      <c r="C15" s="17">
        <v>0.83870967741935487</v>
      </c>
      <c r="D15" s="17">
        <v>26</v>
      </c>
      <c r="E15" s="17">
        <v>0.33333333333333331</v>
      </c>
      <c r="F15" s="17">
        <v>10</v>
      </c>
      <c r="G15" s="16" t="s">
        <v>13</v>
      </c>
      <c r="H15" s="17">
        <v>1</v>
      </c>
      <c r="I15" s="17">
        <v>0.2</v>
      </c>
      <c r="J15" s="17">
        <v>0</v>
      </c>
    </row>
    <row r="16" spans="1:10" ht="15">
      <c r="A16" s="17">
        <v>2.6666666666666665</v>
      </c>
      <c r="B16" s="17">
        <v>80</v>
      </c>
      <c r="C16" s="17">
        <v>2.6451612903225805</v>
      </c>
      <c r="D16" s="17">
        <v>82</v>
      </c>
      <c r="E16" s="17">
        <v>2.8666666666666667</v>
      </c>
      <c r="F16" s="17">
        <v>86</v>
      </c>
      <c r="G16" s="16" t="s">
        <v>14</v>
      </c>
      <c r="H16" s="17">
        <v>14</v>
      </c>
      <c r="I16" s="17">
        <v>2.8</v>
      </c>
      <c r="J16" s="17">
        <v>1</v>
      </c>
    </row>
    <row r="17" spans="1:10" ht="15">
      <c r="A17" s="17"/>
      <c r="B17" s="17"/>
      <c r="C17" s="17"/>
      <c r="D17" s="17"/>
      <c r="E17" s="17"/>
      <c r="F17" s="17"/>
      <c r="G17" s="18"/>
      <c r="H17" s="17"/>
      <c r="I17" s="17"/>
      <c r="J17" s="17"/>
    </row>
    <row r="18" spans="1:10" ht="15">
      <c r="A18" s="17">
        <v>44.366666666666667</v>
      </c>
      <c r="B18" s="17">
        <v>1331</v>
      </c>
      <c r="C18" s="17">
        <v>44.58064516129032</v>
      </c>
      <c r="D18" s="17">
        <v>1382</v>
      </c>
      <c r="E18" s="17">
        <v>48.06666666666667</v>
      </c>
      <c r="F18" s="17">
        <v>1442</v>
      </c>
      <c r="G18" s="18" t="s">
        <v>15</v>
      </c>
      <c r="H18" s="17">
        <v>226</v>
      </c>
      <c r="I18" s="17">
        <v>45.2</v>
      </c>
      <c r="J18" s="17">
        <v>48</v>
      </c>
    </row>
    <row r="19" spans="1:10" ht="15">
      <c r="A19" s="17">
        <v>74.7</v>
      </c>
      <c r="B19" s="17">
        <v>2241</v>
      </c>
      <c r="C19" s="17">
        <v>80.064516129032256</v>
      </c>
      <c r="D19" s="17">
        <v>2482</v>
      </c>
      <c r="E19" s="17">
        <v>82.7</v>
      </c>
      <c r="F19" s="17">
        <v>2481</v>
      </c>
      <c r="G19" s="18" t="s">
        <v>16</v>
      </c>
      <c r="H19" s="17">
        <v>304</v>
      </c>
      <c r="I19" s="17">
        <v>60.8</v>
      </c>
      <c r="J19" s="17">
        <v>54</v>
      </c>
    </row>
    <row r="20" spans="1:10" ht="15">
      <c r="A20" s="17">
        <v>129.36666666666667</v>
      </c>
      <c r="B20" s="17">
        <v>3881</v>
      </c>
      <c r="C20" s="17">
        <v>124.6774193548387</v>
      </c>
      <c r="D20" s="17">
        <v>3865</v>
      </c>
      <c r="E20" s="17">
        <v>143.13333333333333</v>
      </c>
      <c r="F20" s="17">
        <v>4294</v>
      </c>
      <c r="G20" s="18" t="s">
        <v>17</v>
      </c>
      <c r="H20" s="17">
        <v>675</v>
      </c>
      <c r="I20" s="17">
        <v>135</v>
      </c>
      <c r="J20" s="17">
        <v>6</v>
      </c>
    </row>
    <row r="21" spans="1:10" ht="15">
      <c r="A21" s="17"/>
      <c r="B21" s="17"/>
      <c r="C21" s="17"/>
      <c r="D21" s="17"/>
      <c r="E21" s="17"/>
      <c r="F21" s="17"/>
      <c r="G21" s="18"/>
      <c r="H21" s="17"/>
      <c r="I21" s="17"/>
      <c r="J21" s="17"/>
    </row>
    <row r="22" spans="1:10" ht="15.75">
      <c r="A22" s="15">
        <v>262.5</v>
      </c>
      <c r="B22" s="15">
        <v>7875</v>
      </c>
      <c r="C22" s="15">
        <v>261.03225806451616</v>
      </c>
      <c r="D22" s="15">
        <v>8092</v>
      </c>
      <c r="E22" s="15">
        <v>281.93333333333334</v>
      </c>
      <c r="F22" s="15">
        <v>8458</v>
      </c>
      <c r="G22" s="14" t="s">
        <v>18</v>
      </c>
      <c r="H22" s="15">
        <v>1312</v>
      </c>
      <c r="I22" s="15">
        <v>262.39999999999998</v>
      </c>
      <c r="J22" s="15">
        <v>52</v>
      </c>
    </row>
    <row r="23" spans="1:10" ht="15">
      <c r="A23" s="17">
        <v>193.6</v>
      </c>
      <c r="B23" s="17">
        <v>5808</v>
      </c>
      <c r="C23" s="17">
        <v>189.64516129032259</v>
      </c>
      <c r="D23" s="17">
        <v>5879</v>
      </c>
      <c r="E23" s="17">
        <v>206.7</v>
      </c>
      <c r="F23" s="17">
        <v>6201</v>
      </c>
      <c r="G23" s="19" t="s">
        <v>10</v>
      </c>
      <c r="H23" s="17">
        <v>974</v>
      </c>
      <c r="I23" s="17">
        <v>194.8</v>
      </c>
      <c r="J23" s="17">
        <v>48</v>
      </c>
    </row>
    <row r="24" spans="1:10" ht="15">
      <c r="A24" s="17">
        <v>38.43333333333333</v>
      </c>
      <c r="B24" s="17">
        <v>1153</v>
      </c>
      <c r="C24" s="17">
        <v>39.903225806451616</v>
      </c>
      <c r="D24" s="17">
        <v>1237</v>
      </c>
      <c r="E24" s="17">
        <v>40.733333333333334</v>
      </c>
      <c r="F24" s="17">
        <v>1222</v>
      </c>
      <c r="G24" s="19" t="s">
        <v>11</v>
      </c>
      <c r="H24" s="17">
        <v>182</v>
      </c>
      <c r="I24" s="17">
        <v>36.4</v>
      </c>
      <c r="J24" s="17">
        <v>1</v>
      </c>
    </row>
    <row r="25" spans="1:10" ht="15">
      <c r="A25" s="17">
        <v>26.8</v>
      </c>
      <c r="B25" s="17">
        <v>804</v>
      </c>
      <c r="C25" s="17">
        <v>27.161290322580644</v>
      </c>
      <c r="D25" s="17">
        <v>842</v>
      </c>
      <c r="E25" s="17">
        <v>31.633333333333333</v>
      </c>
      <c r="F25" s="17">
        <v>949</v>
      </c>
      <c r="G25" s="19" t="s">
        <v>12</v>
      </c>
      <c r="H25" s="17">
        <v>135</v>
      </c>
      <c r="I25" s="17">
        <v>27</v>
      </c>
      <c r="J25" s="17">
        <v>2</v>
      </c>
    </row>
    <row r="26" spans="1:10" ht="15">
      <c r="A26" s="17">
        <v>0.8666666666666667</v>
      </c>
      <c r="B26" s="17">
        <v>26</v>
      </c>
      <c r="C26" s="17">
        <v>0.67741935483870963</v>
      </c>
      <c r="D26" s="17">
        <v>21</v>
      </c>
      <c r="E26" s="17">
        <v>0.3</v>
      </c>
      <c r="F26" s="17">
        <v>9</v>
      </c>
      <c r="G26" s="19" t="s">
        <v>13</v>
      </c>
      <c r="H26" s="17">
        <v>3</v>
      </c>
      <c r="I26" s="17">
        <v>0.6</v>
      </c>
      <c r="J26" s="17">
        <v>0</v>
      </c>
    </row>
    <row r="27" spans="1:10" ht="15">
      <c r="A27" s="21">
        <v>2.8</v>
      </c>
      <c r="B27" s="21">
        <v>84</v>
      </c>
      <c r="C27" s="21">
        <v>3.6451612903225805</v>
      </c>
      <c r="D27" s="21">
        <v>113</v>
      </c>
      <c r="E27" s="21">
        <v>2.5666666666666669</v>
      </c>
      <c r="F27" s="21">
        <v>77</v>
      </c>
      <c r="G27" s="20" t="s">
        <v>19</v>
      </c>
      <c r="H27" s="21">
        <v>18</v>
      </c>
      <c r="I27" s="21">
        <v>3.6</v>
      </c>
      <c r="J27" s="21">
        <v>1</v>
      </c>
    </row>
    <row r="28" spans="1:10" ht="15">
      <c r="A28" s="17"/>
      <c r="B28" s="17"/>
      <c r="C28" s="17"/>
      <c r="D28" s="17"/>
      <c r="E28" s="17"/>
      <c r="F28" s="17"/>
      <c r="G28" s="18"/>
      <c r="H28" s="17"/>
      <c r="I28" s="17"/>
      <c r="J28" s="17"/>
    </row>
    <row r="29" spans="1:10" ht="15">
      <c r="A29" s="17">
        <v>22.033333333333335</v>
      </c>
      <c r="B29" s="17">
        <v>661</v>
      </c>
      <c r="C29" s="17">
        <v>21.258064516129032</v>
      </c>
      <c r="D29" s="17">
        <v>659</v>
      </c>
      <c r="E29" s="17">
        <v>23.366666666666667</v>
      </c>
      <c r="F29" s="17">
        <v>701</v>
      </c>
      <c r="G29" s="18" t="s">
        <v>20</v>
      </c>
      <c r="H29" s="17">
        <v>95</v>
      </c>
      <c r="I29" s="17">
        <v>19</v>
      </c>
      <c r="J29" s="17">
        <v>5</v>
      </c>
    </row>
    <row r="30" spans="1:10" ht="15">
      <c r="A30" s="17"/>
      <c r="B30" s="17"/>
      <c r="C30" s="17"/>
      <c r="D30" s="17"/>
      <c r="E30" s="17"/>
      <c r="F30" s="17"/>
      <c r="G30" s="18"/>
      <c r="H30" s="17"/>
      <c r="I30" s="17"/>
      <c r="J30" s="17"/>
    </row>
    <row r="31" spans="1:10" ht="16.5">
      <c r="A31" s="15"/>
      <c r="B31" s="15"/>
      <c r="C31" s="15"/>
      <c r="D31" s="15"/>
      <c r="E31" s="15"/>
      <c r="F31" s="15"/>
      <c r="G31" s="22" t="s">
        <v>21</v>
      </c>
      <c r="H31" s="15"/>
      <c r="I31" s="15"/>
      <c r="J31" s="15"/>
    </row>
    <row r="32" spans="1:10" ht="15.75">
      <c r="A32" s="15">
        <v>7779345.0696666678</v>
      </c>
      <c r="B32" s="15">
        <v>233380352.09000003</v>
      </c>
      <c r="C32" s="15">
        <v>7946354.1077419352</v>
      </c>
      <c r="D32" s="15">
        <v>246336977.34</v>
      </c>
      <c r="E32" s="15">
        <v>8792161.6670000013</v>
      </c>
      <c r="F32" s="15">
        <v>263764850.01000002</v>
      </c>
      <c r="G32" s="9" t="s">
        <v>22</v>
      </c>
      <c r="H32" s="15">
        <v>34501251.539999999</v>
      </c>
      <c r="I32" s="15">
        <v>6900250.3080000002</v>
      </c>
      <c r="J32" s="15">
        <v>336837</v>
      </c>
    </row>
    <row r="33" spans="1:10" ht="15.75">
      <c r="A33" s="15">
        <v>18815569.685999997</v>
      </c>
      <c r="B33" s="15">
        <v>564467090.57999992</v>
      </c>
      <c r="C33" s="15">
        <v>18455359.695483871</v>
      </c>
      <c r="D33" s="15">
        <v>572116150.55999994</v>
      </c>
      <c r="E33" s="15">
        <v>19461735.821666669</v>
      </c>
      <c r="F33" s="15">
        <v>583852074.6500001</v>
      </c>
      <c r="G33" s="9" t="s">
        <v>23</v>
      </c>
      <c r="H33" s="15">
        <v>86283530.229999989</v>
      </c>
      <c r="I33" s="15">
        <v>17256706.045999996</v>
      </c>
      <c r="J33" s="15">
        <v>3886873.41</v>
      </c>
    </row>
    <row r="34" spans="1:10" ht="16.5">
      <c r="A34" s="24">
        <v>26594914.755666666</v>
      </c>
      <c r="B34" s="24">
        <v>797847442.66999996</v>
      </c>
      <c r="C34" s="24">
        <v>26401713.803225808</v>
      </c>
      <c r="D34" s="24">
        <v>818453127.89999998</v>
      </c>
      <c r="E34" s="24">
        <v>28253897.488666669</v>
      </c>
      <c r="F34" s="24">
        <v>847616924.66000009</v>
      </c>
      <c r="G34" s="23" t="s">
        <v>24</v>
      </c>
      <c r="H34" s="24">
        <v>120784781.77</v>
      </c>
      <c r="I34" s="24">
        <v>24156956.353999998</v>
      </c>
      <c r="J34" s="24">
        <v>4223710.41</v>
      </c>
    </row>
    <row r="35" spans="1:10" ht="15">
      <c r="A35" s="17"/>
      <c r="B35" s="17"/>
      <c r="C35" s="17"/>
      <c r="D35" s="17"/>
      <c r="E35" s="17"/>
      <c r="F35" s="17"/>
      <c r="G35" s="25"/>
      <c r="H35" s="17"/>
      <c r="I35" s="17"/>
      <c r="J35" s="17"/>
    </row>
    <row r="36" spans="1:10" ht="16.5">
      <c r="A36" s="17"/>
      <c r="B36" s="17"/>
      <c r="C36" s="17"/>
      <c r="D36" s="17"/>
      <c r="E36" s="17"/>
      <c r="F36" s="17"/>
      <c r="G36" s="22" t="s">
        <v>21</v>
      </c>
      <c r="H36" s="17"/>
      <c r="I36" s="17"/>
      <c r="J36" s="17"/>
    </row>
    <row r="37" spans="1:10" ht="15">
      <c r="A37" s="17">
        <v>25148845.672000002</v>
      </c>
      <c r="B37" s="17">
        <v>754465370.16000009</v>
      </c>
      <c r="C37" s="17">
        <v>24937813.347096771</v>
      </c>
      <c r="D37" s="17">
        <v>773072213.75999999</v>
      </c>
      <c r="E37" s="17">
        <v>27316637.163666669</v>
      </c>
      <c r="F37" s="17">
        <v>819499114.91000009</v>
      </c>
      <c r="G37" s="16" t="s">
        <v>25</v>
      </c>
      <c r="H37" s="17">
        <v>111300571.85999998</v>
      </c>
      <c r="I37" s="17">
        <v>22260114.371999998</v>
      </c>
      <c r="J37" s="17">
        <v>4221060.41</v>
      </c>
    </row>
    <row r="38" spans="1:10" ht="15">
      <c r="A38" s="17">
        <v>1446069.0843333332</v>
      </c>
      <c r="B38" s="17">
        <v>43382072.529999994</v>
      </c>
      <c r="C38" s="17">
        <v>1463900.4564516128</v>
      </c>
      <c r="D38" s="17">
        <v>45380914.149999999</v>
      </c>
      <c r="E38" s="17">
        <v>937260.32499999995</v>
      </c>
      <c r="F38" s="17">
        <v>28117809.75</v>
      </c>
      <c r="G38" s="16" t="s">
        <v>26</v>
      </c>
      <c r="H38" s="17">
        <v>9484209.9100000001</v>
      </c>
      <c r="I38" s="17">
        <v>1896841.9820000001</v>
      </c>
      <c r="J38" s="17">
        <v>2650</v>
      </c>
    </row>
    <row r="39" spans="1:10" ht="16.5">
      <c r="A39" s="24">
        <v>26594914.756333336</v>
      </c>
      <c r="B39" s="24">
        <v>797847442.69000006</v>
      </c>
      <c r="C39" s="24">
        <v>26401713.803548384</v>
      </c>
      <c r="D39" s="24">
        <v>818453127.90999997</v>
      </c>
      <c r="E39" s="24">
        <v>28253897.488666669</v>
      </c>
      <c r="F39" s="24">
        <v>847616924.66000009</v>
      </c>
      <c r="G39" s="23" t="s">
        <v>24</v>
      </c>
      <c r="H39" s="24">
        <v>120784781.77</v>
      </c>
      <c r="I39" s="24">
        <v>24156956.353999998</v>
      </c>
      <c r="J39" s="24">
        <v>4223710.41</v>
      </c>
    </row>
    <row r="40" spans="1:10" ht="15">
      <c r="A40" s="17"/>
      <c r="B40" s="17"/>
      <c r="C40" s="17"/>
      <c r="D40" s="17"/>
      <c r="E40" s="17"/>
      <c r="F40" s="17"/>
      <c r="G40" s="25"/>
      <c r="H40" s="17"/>
      <c r="I40" s="17"/>
      <c r="J40" s="17"/>
    </row>
    <row r="41" spans="1:10" ht="16.5">
      <c r="A41" s="17"/>
      <c r="B41" s="17"/>
      <c r="C41" s="17"/>
      <c r="D41" s="17"/>
      <c r="E41" s="17"/>
      <c r="F41" s="17"/>
      <c r="G41" s="22" t="s">
        <v>21</v>
      </c>
      <c r="H41" s="17"/>
      <c r="I41" s="17"/>
      <c r="J41" s="17"/>
    </row>
    <row r="42" spans="1:10" ht="16.5">
      <c r="A42" s="17"/>
      <c r="B42" s="17"/>
      <c r="C42" s="17"/>
      <c r="D42" s="17"/>
      <c r="E42" s="17"/>
      <c r="F42" s="17"/>
      <c r="G42" s="22"/>
      <c r="H42" s="17"/>
      <c r="I42" s="17"/>
      <c r="J42" s="17"/>
    </row>
    <row r="43" spans="1:10" ht="18">
      <c r="A43" s="15"/>
      <c r="B43" s="15"/>
      <c r="C43" s="15"/>
      <c r="D43" s="15"/>
      <c r="E43" s="15"/>
      <c r="F43" s="15"/>
      <c r="G43" s="26" t="s">
        <v>27</v>
      </c>
      <c r="H43" s="15"/>
      <c r="I43" s="15"/>
      <c r="J43" s="15"/>
    </row>
    <row r="44" spans="1:10" ht="15.75">
      <c r="A44" s="15">
        <v>15356913.085000003</v>
      </c>
      <c r="B44" s="15">
        <v>460707392.55000007</v>
      </c>
      <c r="C44" s="15">
        <v>14745637.771290321</v>
      </c>
      <c r="D44" s="15">
        <v>457114770.90999997</v>
      </c>
      <c r="E44" s="15">
        <v>16356440.978333334</v>
      </c>
      <c r="F44" s="15">
        <v>490693229.35000002</v>
      </c>
      <c r="G44" s="9" t="s">
        <v>25</v>
      </c>
      <c r="H44" s="15">
        <v>67675770.75</v>
      </c>
      <c r="I44" s="15">
        <v>13535154.15</v>
      </c>
      <c r="J44" s="15">
        <v>3551774.11</v>
      </c>
    </row>
    <row r="45" spans="1:10" ht="15.75">
      <c r="A45" s="15">
        <v>312972.73099999991</v>
      </c>
      <c r="B45" s="15">
        <v>9389181.9299999978</v>
      </c>
      <c r="C45" s="15">
        <v>479109.62870967743</v>
      </c>
      <c r="D45" s="15">
        <v>14852398.49</v>
      </c>
      <c r="E45" s="15">
        <v>396202.71733333333</v>
      </c>
      <c r="F45" s="15">
        <v>11886081.52</v>
      </c>
      <c r="G45" s="9" t="s">
        <v>26</v>
      </c>
      <c r="H45" s="15">
        <v>1851534.8699999999</v>
      </c>
      <c r="I45" s="15">
        <v>370306.97399999999</v>
      </c>
      <c r="J45" s="15">
        <v>2650</v>
      </c>
    </row>
    <row r="46" spans="1:10" ht="15">
      <c r="A46" s="15"/>
      <c r="B46" s="15"/>
      <c r="C46" s="15"/>
      <c r="D46" s="15"/>
      <c r="E46" s="15"/>
      <c r="F46" s="15"/>
      <c r="G46" s="16"/>
      <c r="H46" s="15"/>
      <c r="I46" s="15"/>
      <c r="J46" s="15"/>
    </row>
    <row r="47" spans="1:10" ht="18">
      <c r="A47" s="15"/>
      <c r="B47" s="15"/>
      <c r="C47" s="15"/>
      <c r="D47" s="15"/>
      <c r="E47" s="15"/>
      <c r="F47" s="15"/>
      <c r="G47" s="26" t="s">
        <v>28</v>
      </c>
      <c r="H47" s="15"/>
      <c r="I47" s="15"/>
      <c r="J47" s="15"/>
    </row>
    <row r="48" spans="1:10" ht="15.75">
      <c r="A48" s="15">
        <v>9791932.5869999994</v>
      </c>
      <c r="B48" s="15">
        <v>293757977.61000001</v>
      </c>
      <c r="C48" s="15">
        <v>10192175.57580645</v>
      </c>
      <c r="D48" s="15">
        <v>315957442.84999996</v>
      </c>
      <c r="E48" s="15">
        <v>10960186.185333334</v>
      </c>
      <c r="F48" s="15">
        <v>328805585.56</v>
      </c>
      <c r="G48" s="9" t="s">
        <v>25</v>
      </c>
      <c r="H48" s="15">
        <v>43624801.109999999</v>
      </c>
      <c r="I48" s="15">
        <v>8724960.2219999991</v>
      </c>
      <c r="J48" s="15">
        <v>669286.30000000005</v>
      </c>
    </row>
    <row r="49" spans="1:10" ht="15">
      <c r="A49" s="17">
        <v>2956538.4573333329</v>
      </c>
      <c r="B49" s="17">
        <v>88696153.719999984</v>
      </c>
      <c r="C49" s="17">
        <v>2837884.3412903226</v>
      </c>
      <c r="D49" s="17">
        <v>87974414.579999998</v>
      </c>
      <c r="E49" s="17">
        <v>3193959.7213333328</v>
      </c>
      <c r="F49" s="17">
        <v>95818791.639999986</v>
      </c>
      <c r="G49" s="16" t="s">
        <v>29</v>
      </c>
      <c r="H49" s="17">
        <v>14751401.439999999</v>
      </c>
      <c r="I49" s="17">
        <v>2950280.2879999997</v>
      </c>
      <c r="J49" s="17">
        <v>461873.94</v>
      </c>
    </row>
    <row r="50" spans="1:10" ht="15">
      <c r="A50" s="17">
        <v>114988.73699999999</v>
      </c>
      <c r="B50" s="17">
        <v>3449662.11</v>
      </c>
      <c r="C50" s="17">
        <v>115145.89548387098</v>
      </c>
      <c r="D50" s="17">
        <v>3569522.7600000002</v>
      </c>
      <c r="E50" s="17">
        <v>64290.700333333334</v>
      </c>
      <c r="F50" s="17">
        <v>1928721.01</v>
      </c>
      <c r="G50" s="16" t="s">
        <v>30</v>
      </c>
      <c r="H50" s="17">
        <v>80957.990000000005</v>
      </c>
      <c r="I50" s="17">
        <v>16191.598000000002</v>
      </c>
      <c r="J50" s="17">
        <v>0</v>
      </c>
    </row>
    <row r="51" spans="1:10" ht="15">
      <c r="A51" s="17">
        <v>5792975.1653333334</v>
      </c>
      <c r="B51" s="17">
        <v>173789254.96000001</v>
      </c>
      <c r="C51" s="17">
        <v>6153580.188387095</v>
      </c>
      <c r="D51" s="17">
        <v>190760985.83999994</v>
      </c>
      <c r="E51" s="17">
        <v>6843860.5746666668</v>
      </c>
      <c r="F51" s="17">
        <v>205315817.24000001</v>
      </c>
      <c r="G51" s="16" t="s">
        <v>31</v>
      </c>
      <c r="H51" s="17">
        <v>24312405.880000003</v>
      </c>
      <c r="I51" s="17">
        <v>4862481.1760000009</v>
      </c>
      <c r="J51" s="17">
        <v>147564.17000000001</v>
      </c>
    </row>
    <row r="52" spans="1:10" ht="15">
      <c r="A52" s="17">
        <v>927430.22733333323</v>
      </c>
      <c r="B52" s="17">
        <v>27822906.819999997</v>
      </c>
      <c r="C52" s="17">
        <v>1085565.150645161</v>
      </c>
      <c r="D52" s="17">
        <v>33652519.669999994</v>
      </c>
      <c r="E52" s="17">
        <v>858075.18900000001</v>
      </c>
      <c r="F52" s="17">
        <v>25742255.670000002</v>
      </c>
      <c r="G52" s="16" t="s">
        <v>32</v>
      </c>
      <c r="H52" s="17">
        <v>4480035.8000000007</v>
      </c>
      <c r="I52" s="17">
        <v>896007.16000000015</v>
      </c>
      <c r="J52" s="17">
        <v>59848.19</v>
      </c>
    </row>
    <row r="53" spans="1:10" ht="15">
      <c r="A53" s="17"/>
      <c r="B53" s="17"/>
      <c r="C53" s="17"/>
      <c r="D53" s="17"/>
      <c r="E53" s="17"/>
      <c r="F53" s="17"/>
      <c r="G53" s="16"/>
      <c r="H53" s="17"/>
      <c r="I53" s="17"/>
      <c r="J53" s="17"/>
    </row>
    <row r="54" spans="1:10" ht="15.75">
      <c r="A54" s="15">
        <v>1133096.3533333333</v>
      </c>
      <c r="B54" s="15">
        <v>33992890.599999994</v>
      </c>
      <c r="C54" s="15">
        <v>984790.82774193527</v>
      </c>
      <c r="D54" s="15">
        <v>30528515.659999996</v>
      </c>
      <c r="E54" s="15">
        <v>541067.60666666657</v>
      </c>
      <c r="F54" s="15">
        <v>16232028.199999997</v>
      </c>
      <c r="G54" s="9" t="s">
        <v>26</v>
      </c>
      <c r="H54" s="15">
        <v>7632675.0399999991</v>
      </c>
      <c r="I54" s="15">
        <v>1526535.0079999999</v>
      </c>
      <c r="J54" s="15">
        <v>0</v>
      </c>
    </row>
    <row r="55" spans="1:10" ht="15">
      <c r="A55" s="17">
        <v>1041864.0303333332</v>
      </c>
      <c r="B55" s="17">
        <v>31255920.909999996</v>
      </c>
      <c r="C55" s="17">
        <v>707343.24677419337</v>
      </c>
      <c r="D55" s="17">
        <v>21927640.649999995</v>
      </c>
      <c r="E55" s="17">
        <v>405154.02133333322</v>
      </c>
      <c r="F55" s="17">
        <v>12154620.639999997</v>
      </c>
      <c r="G55" s="16" t="s">
        <v>33</v>
      </c>
      <c r="H55" s="17">
        <v>7632675.0399999991</v>
      </c>
      <c r="I55" s="17">
        <v>1526535.0079999999</v>
      </c>
      <c r="J55" s="17">
        <v>0</v>
      </c>
    </row>
    <row r="56" spans="1:10" ht="15">
      <c r="A56" s="17">
        <v>91232.323000000004</v>
      </c>
      <c r="B56" s="17">
        <v>2736969.69</v>
      </c>
      <c r="C56" s="17">
        <v>277447.5809677419</v>
      </c>
      <c r="D56" s="17">
        <v>8600875.0099999998</v>
      </c>
      <c r="E56" s="17">
        <v>135913.58533333332</v>
      </c>
      <c r="F56" s="17">
        <v>4077407.56</v>
      </c>
      <c r="G56" s="16" t="s">
        <v>32</v>
      </c>
      <c r="H56" s="17">
        <v>0</v>
      </c>
      <c r="I56" s="17">
        <v>0</v>
      </c>
      <c r="J56" s="17"/>
    </row>
    <row r="57" spans="1:10" ht="16.5">
      <c r="A57" s="24">
        <v>26594914.756333336</v>
      </c>
      <c r="B57" s="24">
        <v>797847442.69000018</v>
      </c>
      <c r="C57" s="24">
        <v>26401713.803548384</v>
      </c>
      <c r="D57" s="24">
        <v>818453127.90999997</v>
      </c>
      <c r="E57" s="24">
        <v>28253897.48766667</v>
      </c>
      <c r="F57" s="24">
        <v>847616924.63000011</v>
      </c>
      <c r="G57" s="23" t="s">
        <v>24</v>
      </c>
      <c r="H57" s="24">
        <v>120784781.77</v>
      </c>
      <c r="I57" s="24">
        <v>24156956.353999998</v>
      </c>
      <c r="J57" s="24">
        <v>4223710.41</v>
      </c>
    </row>
    <row r="58" spans="1:10" ht="15">
      <c r="A58" s="15"/>
      <c r="B58" s="15"/>
      <c r="C58" s="15"/>
      <c r="D58" s="15"/>
      <c r="E58" s="15"/>
      <c r="F58" s="15"/>
      <c r="G58" s="25"/>
      <c r="H58" s="15"/>
      <c r="I58" s="15"/>
      <c r="J58" s="15"/>
    </row>
    <row r="59" spans="1:10" ht="19.5">
      <c r="A59" s="31"/>
      <c r="B59" s="31"/>
      <c r="C59" s="31"/>
      <c r="D59" s="31"/>
      <c r="E59" s="31"/>
      <c r="F59" s="31"/>
      <c r="G59" s="25"/>
      <c r="H59" s="31"/>
      <c r="I59" s="31"/>
      <c r="J59" s="31"/>
    </row>
    <row r="60" spans="1:10" ht="16.5">
      <c r="A60" s="28">
        <v>8167677.291333341</v>
      </c>
      <c r="B60" s="28">
        <v>245030318.74000022</v>
      </c>
      <c r="C60" s="28">
        <v>8148915.1151612997</v>
      </c>
      <c r="D60" s="28">
        <v>252616368.57000029</v>
      </c>
      <c r="E60" s="28">
        <v>8480982.3639999963</v>
      </c>
      <c r="F60" s="28">
        <v>254429470.91999987</v>
      </c>
      <c r="G60" s="27" t="s">
        <v>34</v>
      </c>
      <c r="H60" s="28">
        <v>38691802.159999996</v>
      </c>
      <c r="I60" s="28">
        <v>7738360.4319999991</v>
      </c>
      <c r="J60" s="28">
        <v>2428464.0599999912</v>
      </c>
    </row>
    <row r="61" spans="1:10" ht="16.5">
      <c r="A61" s="15"/>
      <c r="B61" s="15"/>
      <c r="C61" s="15"/>
      <c r="D61" s="15"/>
      <c r="E61" s="15"/>
      <c r="F61" s="15"/>
      <c r="G61" s="22"/>
      <c r="H61" s="15"/>
      <c r="I61" s="15"/>
      <c r="J61" s="15"/>
    </row>
    <row r="62" spans="1:10" ht="15">
      <c r="A62" s="17"/>
      <c r="B62" s="17"/>
      <c r="C62" s="17"/>
      <c r="D62" s="17"/>
      <c r="E62" s="17"/>
      <c r="F62" s="17"/>
      <c r="G62" s="25"/>
      <c r="H62" s="17"/>
      <c r="I62" s="17"/>
      <c r="J62" s="17"/>
    </row>
    <row r="63" spans="1:10" ht="16.5">
      <c r="A63" s="24">
        <v>18427237.464999996</v>
      </c>
      <c r="B63" s="24">
        <v>552817123.94999993</v>
      </c>
      <c r="C63" s="24">
        <v>18252798.688387085</v>
      </c>
      <c r="D63" s="24">
        <v>565836759.33999968</v>
      </c>
      <c r="E63" s="24">
        <v>19772915.123666678</v>
      </c>
      <c r="F63" s="24">
        <v>593187453.71000028</v>
      </c>
      <c r="G63" s="23" t="s">
        <v>35</v>
      </c>
      <c r="H63" s="24">
        <v>82092979.609999999</v>
      </c>
      <c r="I63" s="24">
        <v>16418595.922</v>
      </c>
      <c r="J63" s="24">
        <v>1795246.3500000089</v>
      </c>
    </row>
    <row r="64" spans="1:10" ht="15">
      <c r="A64" s="17"/>
      <c r="B64" s="17"/>
      <c r="C64" s="17"/>
      <c r="D64" s="17"/>
      <c r="E64" s="17"/>
      <c r="F64" s="17"/>
      <c r="G64" s="25"/>
      <c r="H64" s="17"/>
      <c r="I64" s="17"/>
      <c r="J64" s="17"/>
    </row>
    <row r="65" spans="1:10" ht="15">
      <c r="A65" s="17"/>
      <c r="B65" s="17"/>
      <c r="C65" s="17"/>
      <c r="D65" s="17"/>
      <c r="E65" s="17"/>
      <c r="F65" s="17"/>
      <c r="G65" s="25"/>
      <c r="H65" s="17"/>
      <c r="I65" s="17"/>
      <c r="J65" s="17"/>
    </row>
    <row r="66" spans="1:10" ht="16.5">
      <c r="A66" s="15"/>
      <c r="B66" s="15"/>
      <c r="C66" s="15"/>
      <c r="D66" s="15"/>
      <c r="E66" s="15"/>
      <c r="F66" s="15"/>
      <c r="G66" s="22" t="s">
        <v>36</v>
      </c>
      <c r="H66" s="15"/>
      <c r="I66" s="15"/>
      <c r="J66" s="15"/>
    </row>
    <row r="67" spans="1:10" ht="15">
      <c r="A67" s="17">
        <v>5910105.9333399972</v>
      </c>
      <c r="B67" s="17">
        <v>177303178.00019991</v>
      </c>
      <c r="C67" s="17">
        <v>5866329.9354838692</v>
      </c>
      <c r="D67" s="17">
        <v>181856227.99999994</v>
      </c>
      <c r="E67" s="17">
        <v>5787811.3000699989</v>
      </c>
      <c r="F67" s="17">
        <v>173634339.00209996</v>
      </c>
      <c r="G67" s="16" t="s">
        <v>37</v>
      </c>
      <c r="H67" s="17">
        <v>16553398.000000007</v>
      </c>
      <c r="I67" s="17">
        <v>3310679.6000000015</v>
      </c>
      <c r="J67" s="17">
        <v>3251114</v>
      </c>
    </row>
    <row r="68" spans="1:10" ht="15">
      <c r="A68" s="17">
        <v>11196551.166666666</v>
      </c>
      <c r="B68" s="17">
        <v>335896535</v>
      </c>
      <c r="C68" s="17">
        <v>10592793.677419355</v>
      </c>
      <c r="D68" s="17">
        <v>328376604</v>
      </c>
      <c r="E68" s="17">
        <v>10760387.4</v>
      </c>
      <c r="F68" s="17">
        <v>322811622</v>
      </c>
      <c r="G68" s="16" t="s">
        <v>38</v>
      </c>
      <c r="H68" s="17">
        <v>45108039</v>
      </c>
      <c r="I68" s="17">
        <v>9021607.8000000007</v>
      </c>
      <c r="J68" s="17">
        <v>4032379</v>
      </c>
    </row>
    <row r="69" spans="1:10" ht="15">
      <c r="A69" s="17">
        <v>14119849.986333333</v>
      </c>
      <c r="B69" s="17">
        <v>423595499.58999997</v>
      </c>
      <c r="C69" s="17">
        <v>12954746.589999998</v>
      </c>
      <c r="D69" s="17">
        <v>402540199.28999996</v>
      </c>
      <c r="E69" s="17">
        <v>18774984.126666665</v>
      </c>
      <c r="F69" s="17">
        <v>563249523.79999995</v>
      </c>
      <c r="G69" s="16" t="s">
        <v>39</v>
      </c>
      <c r="H69" s="17">
        <v>42032658.82</v>
      </c>
      <c r="I69" s="17">
        <v>8406531.7640000004</v>
      </c>
      <c r="J69" s="17">
        <v>365542.6</v>
      </c>
    </row>
    <row r="70" spans="1:10" ht="15">
      <c r="A70" s="17">
        <v>0</v>
      </c>
      <c r="B70" s="17">
        <v>0</v>
      </c>
      <c r="C70" s="17">
        <v>577.29032258064512</v>
      </c>
      <c r="D70" s="17">
        <v>17896</v>
      </c>
      <c r="E70" s="17">
        <v>400494.33333333331</v>
      </c>
      <c r="F70" s="17">
        <v>12014830</v>
      </c>
      <c r="G70" s="16" t="s">
        <v>40</v>
      </c>
      <c r="H70" s="17">
        <v>0</v>
      </c>
      <c r="I70" s="17">
        <v>0</v>
      </c>
      <c r="J70" s="17">
        <v>0</v>
      </c>
    </row>
    <row r="71" spans="1:10" ht="15">
      <c r="A71" s="17">
        <v>58626.23333333333</v>
      </c>
      <c r="B71" s="17">
        <v>1758787</v>
      </c>
      <c r="C71" s="17">
        <v>33986.806451612902</v>
      </c>
      <c r="D71" s="17">
        <v>1053591</v>
      </c>
      <c r="E71" s="17">
        <v>222898.26666666666</v>
      </c>
      <c r="F71" s="17">
        <v>6686948</v>
      </c>
      <c r="G71" s="29" t="s">
        <v>41</v>
      </c>
      <c r="H71" s="17">
        <v>1059579</v>
      </c>
      <c r="I71" s="17">
        <v>211915.8</v>
      </c>
      <c r="J71" s="17">
        <v>44152</v>
      </c>
    </row>
    <row r="72" spans="1:10" ht="15">
      <c r="A72" s="17">
        <v>1888063.8</v>
      </c>
      <c r="B72" s="17">
        <v>56641914</v>
      </c>
      <c r="C72" s="17">
        <v>2239699.4954838711</v>
      </c>
      <c r="D72" s="17">
        <v>69430684.359999999</v>
      </c>
      <c r="E72" s="17">
        <v>1608721.9666666666</v>
      </c>
      <c r="F72" s="17">
        <v>48261659</v>
      </c>
      <c r="G72" s="29" t="s">
        <v>42</v>
      </c>
      <c r="H72" s="17">
        <v>7240753</v>
      </c>
      <c r="I72" s="17">
        <v>1448150.6</v>
      </c>
      <c r="J72" s="17">
        <v>0</v>
      </c>
    </row>
    <row r="73" spans="1:10" ht="17.25" thickBot="1">
      <c r="A73" s="24">
        <v>29279817.053006701</v>
      </c>
      <c r="B73" s="24">
        <v>878394511.59019995</v>
      </c>
      <c r="C73" s="24">
        <v>27140761.191290319</v>
      </c>
      <c r="D73" s="24">
        <v>842306651.92999995</v>
      </c>
      <c r="E73" s="24">
        <v>33892056.926736668</v>
      </c>
      <c r="F73" s="24">
        <v>1016761707.8020999</v>
      </c>
      <c r="G73" s="30" t="s">
        <v>43</v>
      </c>
      <c r="H73" s="24">
        <v>95393763.820000023</v>
      </c>
      <c r="I73" s="24">
        <v>19078752.764000006</v>
      </c>
      <c r="J73" s="24">
        <v>7604883.5999999996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opLeftCell="A7" workbookViewId="0">
      <selection activeCell="I13" sqref="I13"/>
    </sheetView>
  </sheetViews>
  <sheetFormatPr defaultRowHeight="14.25"/>
  <cols>
    <col min="1" max="1" width="14.625" customWidth="1"/>
    <col min="2" max="2" width="15.25" customWidth="1"/>
    <col min="3" max="3" width="14.875" customWidth="1"/>
    <col min="4" max="4" width="14" customWidth="1"/>
    <col min="5" max="5" width="11.875" customWidth="1"/>
    <col min="6" max="6" width="13.625" customWidth="1"/>
    <col min="7" max="7" width="33.75" customWidth="1"/>
    <col min="8" max="8" width="15.5" customWidth="1"/>
    <col min="9" max="9" width="15.625" customWidth="1"/>
    <col min="10" max="10" width="16.75" customWidth="1"/>
    <col min="11" max="11" width="13.25" customWidth="1"/>
    <col min="12" max="12" width="19.375" customWidth="1"/>
  </cols>
  <sheetData>
    <row r="1" spans="1:10" ht="45.75" thickBot="1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95</v>
      </c>
      <c r="G1" s="3" t="s">
        <v>1</v>
      </c>
      <c r="H1" s="4" t="s">
        <v>88</v>
      </c>
      <c r="I1" s="4" t="s">
        <v>89</v>
      </c>
      <c r="J1" s="4" t="s">
        <v>91</v>
      </c>
    </row>
    <row r="2" spans="1:10" ht="15.75">
      <c r="A2" s="6"/>
      <c r="B2" s="6"/>
      <c r="C2" s="6"/>
      <c r="D2" s="6"/>
      <c r="E2" s="6"/>
      <c r="F2" s="6"/>
      <c r="G2" s="5"/>
      <c r="H2" s="6"/>
      <c r="I2" s="6"/>
      <c r="J2" s="6"/>
    </row>
    <row r="3" spans="1:10" ht="16.5">
      <c r="A3" s="8"/>
      <c r="B3" s="8"/>
      <c r="C3" s="8"/>
      <c r="D3" s="8"/>
      <c r="E3" s="8"/>
      <c r="F3" s="8"/>
      <c r="G3" s="7" t="s">
        <v>2</v>
      </c>
      <c r="H3" s="8"/>
      <c r="I3" s="8"/>
      <c r="J3" s="8"/>
    </row>
    <row r="4" spans="1:10" ht="15.75">
      <c r="A4" s="8">
        <v>1000</v>
      </c>
      <c r="B4" s="8">
        <v>1000</v>
      </c>
      <c r="C4" s="8">
        <v>1000</v>
      </c>
      <c r="D4" s="8">
        <v>1000</v>
      </c>
      <c r="E4" s="8">
        <v>1000</v>
      </c>
      <c r="F4" s="8">
        <v>30000</v>
      </c>
      <c r="G4" s="9" t="s">
        <v>3</v>
      </c>
      <c r="H4" s="8">
        <v>2000</v>
      </c>
      <c r="I4" s="8">
        <v>1000</v>
      </c>
      <c r="J4" s="8">
        <v>1000</v>
      </c>
    </row>
    <row r="5" spans="1:10" ht="15.75">
      <c r="A5" s="32">
        <v>930.33333333333337</v>
      </c>
      <c r="B5" s="32">
        <v>930.33333333333337</v>
      </c>
      <c r="C5" s="33">
        <v>967</v>
      </c>
      <c r="D5" s="33">
        <v>967</v>
      </c>
      <c r="E5" s="33">
        <v>983.5</v>
      </c>
      <c r="F5" s="8">
        <v>29505</v>
      </c>
      <c r="G5" s="9" t="s">
        <v>4</v>
      </c>
      <c r="H5" s="8">
        <v>1921</v>
      </c>
      <c r="I5" s="33">
        <v>960.5</v>
      </c>
      <c r="J5" s="8">
        <v>957</v>
      </c>
    </row>
    <row r="6" spans="1:10" ht="16.5">
      <c r="A6" s="11">
        <v>0.93033333333333335</v>
      </c>
      <c r="B6" s="11">
        <v>0.93033333333333335</v>
      </c>
      <c r="C6" s="11">
        <v>0.96699999999999997</v>
      </c>
      <c r="D6" s="11">
        <v>0.96699999999999997</v>
      </c>
      <c r="E6" s="11">
        <v>0.98350000000000004</v>
      </c>
      <c r="F6" s="11">
        <v>0.98350000000000004</v>
      </c>
      <c r="G6" s="10" t="s">
        <v>5</v>
      </c>
      <c r="H6" s="11">
        <v>0.96050000000000002</v>
      </c>
      <c r="I6" s="11">
        <v>0.96050000000000002</v>
      </c>
      <c r="J6" s="11">
        <v>0.95699999999999996</v>
      </c>
    </row>
    <row r="7" spans="1:10" ht="15">
      <c r="A7" s="32"/>
      <c r="B7" s="32"/>
      <c r="C7" s="32"/>
      <c r="D7" s="32"/>
      <c r="E7" s="32"/>
      <c r="F7" s="32"/>
      <c r="G7" s="12"/>
      <c r="H7" s="32"/>
      <c r="I7" s="32"/>
      <c r="J7" s="32"/>
    </row>
    <row r="8" spans="1:10" ht="16.5">
      <c r="A8" s="32"/>
      <c r="B8" s="32"/>
      <c r="C8" s="32"/>
      <c r="D8" s="32"/>
      <c r="E8" s="32"/>
      <c r="F8" s="32"/>
      <c r="G8" s="13" t="s">
        <v>6</v>
      </c>
      <c r="H8" s="32"/>
      <c r="I8" s="32"/>
      <c r="J8" s="32"/>
    </row>
    <row r="9" spans="1:10" ht="15.75">
      <c r="A9" s="15">
        <v>345.4</v>
      </c>
      <c r="B9" s="15">
        <v>10362</v>
      </c>
      <c r="C9" s="15">
        <v>356.48387096774195</v>
      </c>
      <c r="D9" s="15">
        <v>11051</v>
      </c>
      <c r="E9" s="15">
        <v>386.16666666666669</v>
      </c>
      <c r="F9" s="15">
        <v>11585</v>
      </c>
      <c r="G9" s="14" t="s">
        <v>7</v>
      </c>
      <c r="H9" s="15">
        <v>822</v>
      </c>
      <c r="I9" s="15">
        <v>411</v>
      </c>
      <c r="J9" s="15">
        <v>395</v>
      </c>
    </row>
    <row r="10" spans="1:10" ht="15.75">
      <c r="A10" s="15">
        <v>3003.3666666666668</v>
      </c>
      <c r="B10" s="15">
        <v>90101</v>
      </c>
      <c r="C10" s="15">
        <v>3099.8064516129034</v>
      </c>
      <c r="D10" s="15">
        <v>96094</v>
      </c>
      <c r="E10" s="15">
        <v>3273.0333333333333</v>
      </c>
      <c r="F10" s="15">
        <v>98191</v>
      </c>
      <c r="G10" s="14" t="s">
        <v>8</v>
      </c>
      <c r="H10" s="15">
        <v>7714</v>
      </c>
      <c r="I10" s="15">
        <v>3857</v>
      </c>
      <c r="J10" s="15">
        <v>3831</v>
      </c>
    </row>
    <row r="11" spans="1:10" ht="15.75">
      <c r="A11" s="15">
        <v>260.26666666666665</v>
      </c>
      <c r="B11" s="15">
        <v>7808</v>
      </c>
      <c r="C11" s="15">
        <v>260.51612903225799</v>
      </c>
      <c r="D11" s="15">
        <v>8076</v>
      </c>
      <c r="E11" s="15">
        <v>283.83333333333331</v>
      </c>
      <c r="F11" s="15">
        <v>8515</v>
      </c>
      <c r="G11" s="14" t="s">
        <v>9</v>
      </c>
      <c r="H11" s="15">
        <v>606</v>
      </c>
      <c r="I11" s="15">
        <v>303</v>
      </c>
      <c r="J11" s="15">
        <v>313</v>
      </c>
    </row>
    <row r="12" spans="1:10" ht="15">
      <c r="A12" s="17">
        <v>200.76666666666668</v>
      </c>
      <c r="B12" s="17">
        <v>6023</v>
      </c>
      <c r="C12" s="17">
        <v>194.45161290322579</v>
      </c>
      <c r="D12" s="17">
        <v>6028</v>
      </c>
      <c r="E12" s="17">
        <v>211.73333333333332</v>
      </c>
      <c r="F12" s="17">
        <v>6352</v>
      </c>
      <c r="G12" s="16" t="s">
        <v>10</v>
      </c>
      <c r="H12" s="17">
        <v>462</v>
      </c>
      <c r="I12" s="17">
        <v>231</v>
      </c>
      <c r="J12" s="17">
        <v>236</v>
      </c>
    </row>
    <row r="13" spans="1:10" ht="15">
      <c r="A13" s="17">
        <v>30.2</v>
      </c>
      <c r="B13" s="17">
        <v>906</v>
      </c>
      <c r="C13" s="17">
        <v>35.58064516129032</v>
      </c>
      <c r="D13" s="17">
        <v>1103</v>
      </c>
      <c r="E13" s="17">
        <v>37.5</v>
      </c>
      <c r="F13" s="17">
        <v>1125</v>
      </c>
      <c r="G13" s="16" t="s">
        <v>11</v>
      </c>
      <c r="H13" s="17">
        <v>79</v>
      </c>
      <c r="I13" s="17">
        <v>39.5</v>
      </c>
      <c r="J13" s="17">
        <v>42</v>
      </c>
    </row>
    <row r="14" spans="1:10" ht="15">
      <c r="A14" s="17">
        <v>25.866666666666667</v>
      </c>
      <c r="B14" s="17">
        <v>776</v>
      </c>
      <c r="C14" s="17">
        <v>27</v>
      </c>
      <c r="D14" s="17">
        <v>837</v>
      </c>
      <c r="E14" s="17">
        <v>31.4</v>
      </c>
      <c r="F14" s="17">
        <v>942</v>
      </c>
      <c r="G14" s="16" t="s">
        <v>12</v>
      </c>
      <c r="H14" s="17">
        <v>58</v>
      </c>
      <c r="I14" s="17">
        <v>29</v>
      </c>
      <c r="J14" s="17">
        <v>28</v>
      </c>
    </row>
    <row r="15" spans="1:10" ht="15">
      <c r="A15" s="17">
        <v>0.76666666666666672</v>
      </c>
      <c r="B15" s="17">
        <v>23</v>
      </c>
      <c r="C15" s="17">
        <v>0.83870967741935487</v>
      </c>
      <c r="D15" s="17">
        <v>26</v>
      </c>
      <c r="E15" s="17">
        <v>0.33333333333333331</v>
      </c>
      <c r="F15" s="17">
        <v>10</v>
      </c>
      <c r="G15" s="16" t="s">
        <v>13</v>
      </c>
      <c r="H15" s="17">
        <v>1</v>
      </c>
      <c r="I15" s="17">
        <v>0.5</v>
      </c>
      <c r="J15" s="17">
        <v>1</v>
      </c>
    </row>
    <row r="16" spans="1:10" ht="15">
      <c r="A16" s="17">
        <v>2.6666666666666665</v>
      </c>
      <c r="B16" s="17">
        <v>80</v>
      </c>
      <c r="C16" s="17">
        <v>2.6451612903225805</v>
      </c>
      <c r="D16" s="17">
        <v>82</v>
      </c>
      <c r="E16" s="17">
        <v>2.8666666666666667</v>
      </c>
      <c r="F16" s="17">
        <v>86</v>
      </c>
      <c r="G16" s="16" t="s">
        <v>14</v>
      </c>
      <c r="H16" s="17">
        <v>6</v>
      </c>
      <c r="I16" s="17">
        <v>3</v>
      </c>
      <c r="J16" s="17">
        <v>6</v>
      </c>
    </row>
    <row r="17" spans="1:10" ht="15">
      <c r="A17" s="17"/>
      <c r="B17" s="17"/>
      <c r="C17" s="17"/>
      <c r="D17" s="17"/>
      <c r="E17" s="17"/>
      <c r="F17" s="17"/>
      <c r="G17" s="18"/>
      <c r="H17" s="17"/>
      <c r="I17" s="17"/>
      <c r="J17" s="17"/>
    </row>
    <row r="18" spans="1:10" ht="15">
      <c r="A18" s="17">
        <v>44.366666666666667</v>
      </c>
      <c r="B18" s="17">
        <v>1331</v>
      </c>
      <c r="C18" s="17">
        <v>44.58064516129032</v>
      </c>
      <c r="D18" s="17">
        <v>1382</v>
      </c>
      <c r="E18" s="17">
        <v>48.06666666666667</v>
      </c>
      <c r="F18" s="17">
        <v>1442</v>
      </c>
      <c r="G18" s="18" t="s">
        <v>15</v>
      </c>
      <c r="H18" s="17">
        <v>92</v>
      </c>
      <c r="I18" s="17">
        <v>46</v>
      </c>
      <c r="J18" s="17">
        <v>51</v>
      </c>
    </row>
    <row r="19" spans="1:10" ht="15">
      <c r="A19" s="17">
        <v>74.7</v>
      </c>
      <c r="B19" s="17">
        <v>2241</v>
      </c>
      <c r="C19" s="17">
        <v>80.064516129032256</v>
      </c>
      <c r="D19" s="17">
        <v>2482</v>
      </c>
      <c r="E19" s="17">
        <v>82.7</v>
      </c>
      <c r="F19" s="17">
        <v>2481</v>
      </c>
      <c r="G19" s="18" t="s">
        <v>16</v>
      </c>
      <c r="H19" s="17">
        <v>160</v>
      </c>
      <c r="I19" s="17">
        <v>80</v>
      </c>
      <c r="J19" s="17">
        <v>75</v>
      </c>
    </row>
    <row r="20" spans="1:10" ht="15">
      <c r="A20" s="17">
        <v>129.36666666666667</v>
      </c>
      <c r="B20" s="17">
        <v>3881</v>
      </c>
      <c r="C20" s="17">
        <v>124.6774193548387</v>
      </c>
      <c r="D20" s="17">
        <v>3865</v>
      </c>
      <c r="E20" s="17">
        <v>143.13333333333333</v>
      </c>
      <c r="F20" s="17">
        <v>4294</v>
      </c>
      <c r="G20" s="18" t="s">
        <v>17</v>
      </c>
      <c r="H20" s="17">
        <v>339</v>
      </c>
      <c r="I20" s="17">
        <v>169.5</v>
      </c>
      <c r="J20" s="17">
        <v>181</v>
      </c>
    </row>
    <row r="21" spans="1:10" ht="15">
      <c r="A21" s="17"/>
      <c r="B21" s="17"/>
      <c r="C21" s="17"/>
      <c r="D21" s="17"/>
      <c r="E21" s="17"/>
      <c r="F21" s="17"/>
      <c r="G21" s="18"/>
      <c r="H21" s="17"/>
      <c r="I21" s="17"/>
      <c r="J21" s="17"/>
    </row>
    <row r="22" spans="1:10" ht="15.75">
      <c r="A22" s="15">
        <v>262.5</v>
      </c>
      <c r="B22" s="15">
        <v>7875</v>
      </c>
      <c r="C22" s="15">
        <v>261.03225806451616</v>
      </c>
      <c r="D22" s="15">
        <v>8092</v>
      </c>
      <c r="E22" s="15">
        <v>281.93333333333334</v>
      </c>
      <c r="F22" s="15">
        <v>8458</v>
      </c>
      <c r="G22" s="14" t="s">
        <v>18</v>
      </c>
      <c r="H22" s="15">
        <v>638</v>
      </c>
      <c r="I22" s="15">
        <v>319</v>
      </c>
      <c r="J22" s="15">
        <v>326</v>
      </c>
    </row>
    <row r="23" spans="1:10" ht="15">
      <c r="A23" s="17">
        <v>193.6</v>
      </c>
      <c r="B23" s="17">
        <v>5808</v>
      </c>
      <c r="C23" s="17">
        <v>189.64516129032259</v>
      </c>
      <c r="D23" s="17">
        <v>5879</v>
      </c>
      <c r="E23" s="17">
        <v>206.7</v>
      </c>
      <c r="F23" s="17">
        <v>6201</v>
      </c>
      <c r="G23" s="19" t="s">
        <v>10</v>
      </c>
      <c r="H23" s="17">
        <v>471</v>
      </c>
      <c r="I23" s="17">
        <v>235.5</v>
      </c>
      <c r="J23" s="17">
        <v>240</v>
      </c>
    </row>
    <row r="24" spans="1:10" ht="15">
      <c r="A24" s="17">
        <v>38.43333333333333</v>
      </c>
      <c r="B24" s="17">
        <v>1153</v>
      </c>
      <c r="C24" s="17">
        <v>39.903225806451616</v>
      </c>
      <c r="D24" s="17">
        <v>1237</v>
      </c>
      <c r="E24" s="17">
        <v>40.733333333333334</v>
      </c>
      <c r="F24" s="17">
        <v>1222</v>
      </c>
      <c r="G24" s="19" t="s">
        <v>11</v>
      </c>
      <c r="H24" s="17">
        <v>94</v>
      </c>
      <c r="I24" s="17">
        <v>47</v>
      </c>
      <c r="J24" s="17">
        <v>47</v>
      </c>
    </row>
    <row r="25" spans="1:10" ht="15">
      <c r="A25" s="17">
        <v>26.8</v>
      </c>
      <c r="B25" s="17">
        <v>804</v>
      </c>
      <c r="C25" s="17">
        <v>27.161290322580644</v>
      </c>
      <c r="D25" s="17">
        <v>842</v>
      </c>
      <c r="E25" s="17">
        <v>31.633333333333333</v>
      </c>
      <c r="F25" s="17">
        <v>949</v>
      </c>
      <c r="G25" s="19" t="s">
        <v>12</v>
      </c>
      <c r="H25" s="17">
        <v>64</v>
      </c>
      <c r="I25" s="17">
        <v>32</v>
      </c>
      <c r="J25" s="17">
        <v>36</v>
      </c>
    </row>
    <row r="26" spans="1:10" ht="15">
      <c r="A26" s="17">
        <v>0.8666666666666667</v>
      </c>
      <c r="B26" s="17">
        <v>26</v>
      </c>
      <c r="C26" s="17">
        <v>0.67741935483870963</v>
      </c>
      <c r="D26" s="17">
        <v>21</v>
      </c>
      <c r="E26" s="17">
        <v>0.3</v>
      </c>
      <c r="F26" s="17">
        <v>9</v>
      </c>
      <c r="G26" s="19" t="s">
        <v>13</v>
      </c>
      <c r="H26" s="17">
        <v>2</v>
      </c>
      <c r="I26" s="17">
        <v>1</v>
      </c>
      <c r="J26" s="17">
        <v>2</v>
      </c>
    </row>
    <row r="27" spans="1:10" ht="15">
      <c r="A27" s="21">
        <v>2.8</v>
      </c>
      <c r="B27" s="21">
        <v>84</v>
      </c>
      <c r="C27" s="21">
        <v>3.6451612903225805</v>
      </c>
      <c r="D27" s="21">
        <v>113</v>
      </c>
      <c r="E27" s="21">
        <v>2.5666666666666669</v>
      </c>
      <c r="F27" s="21">
        <v>77</v>
      </c>
      <c r="G27" s="20" t="s">
        <v>19</v>
      </c>
      <c r="H27" s="21">
        <v>7</v>
      </c>
      <c r="I27" s="21">
        <v>3.5</v>
      </c>
      <c r="J27" s="21">
        <v>1</v>
      </c>
    </row>
    <row r="28" spans="1:10" ht="15">
      <c r="A28" s="17"/>
      <c r="B28" s="17"/>
      <c r="C28" s="17"/>
      <c r="D28" s="17"/>
      <c r="E28" s="17"/>
      <c r="F28" s="17"/>
      <c r="G28" s="18"/>
      <c r="H28" s="17"/>
      <c r="I28" s="17"/>
      <c r="J28" s="17"/>
    </row>
    <row r="29" spans="1:10" ht="15">
      <c r="A29" s="17">
        <v>22.033333333333335</v>
      </c>
      <c r="B29" s="17">
        <v>661</v>
      </c>
      <c r="C29" s="17">
        <v>21.258064516129032</v>
      </c>
      <c r="D29" s="17">
        <v>659</v>
      </c>
      <c r="E29" s="17">
        <v>23.366666666666667</v>
      </c>
      <c r="F29" s="17">
        <v>701</v>
      </c>
      <c r="G29" s="18" t="s">
        <v>20</v>
      </c>
      <c r="H29" s="17">
        <v>48</v>
      </c>
      <c r="I29" s="17">
        <v>24</v>
      </c>
      <c r="J29" s="17">
        <v>17</v>
      </c>
    </row>
    <row r="30" spans="1:10" ht="15">
      <c r="A30" s="17"/>
      <c r="B30" s="17"/>
      <c r="C30" s="17"/>
      <c r="D30" s="17"/>
      <c r="E30" s="17"/>
      <c r="F30" s="17"/>
      <c r="G30" s="18"/>
      <c r="H30" s="17"/>
      <c r="I30" s="17"/>
      <c r="J30" s="17"/>
    </row>
    <row r="31" spans="1:10" ht="16.5">
      <c r="A31" s="15"/>
      <c r="B31" s="15"/>
      <c r="C31" s="15"/>
      <c r="D31" s="15"/>
      <c r="E31" s="15"/>
      <c r="F31" s="15"/>
      <c r="G31" s="22" t="s">
        <v>21</v>
      </c>
      <c r="H31" s="15"/>
      <c r="I31" s="15"/>
      <c r="J31" s="15"/>
    </row>
    <row r="32" spans="1:10" ht="15.75">
      <c r="A32" s="15">
        <v>7779345.0696666678</v>
      </c>
      <c r="B32" s="15">
        <v>233380352.09000003</v>
      </c>
      <c r="C32" s="15">
        <v>7946354.1077419352</v>
      </c>
      <c r="D32" s="15">
        <v>246336977.34</v>
      </c>
      <c r="E32" s="15">
        <v>8792161.6670000013</v>
      </c>
      <c r="F32" s="15">
        <v>263764850.01000002</v>
      </c>
      <c r="G32" s="9" t="s">
        <v>22</v>
      </c>
      <c r="H32" s="15">
        <v>18713733.289999999</v>
      </c>
      <c r="I32" s="15">
        <v>9356866.6449999996</v>
      </c>
      <c r="J32" s="15">
        <v>9106493.9499999993</v>
      </c>
    </row>
    <row r="33" spans="1:10" ht="15.75">
      <c r="A33" s="15">
        <v>18815569.685999997</v>
      </c>
      <c r="B33" s="15">
        <v>564467090.57999992</v>
      </c>
      <c r="C33" s="15">
        <v>18455359.695483871</v>
      </c>
      <c r="D33" s="15">
        <v>572116150.55999994</v>
      </c>
      <c r="E33" s="15">
        <v>19461735.821666669</v>
      </c>
      <c r="F33" s="15">
        <v>583852074.6500001</v>
      </c>
      <c r="G33" s="9" t="s">
        <v>23</v>
      </c>
      <c r="H33" s="15">
        <v>40131572.629999995</v>
      </c>
      <c r="I33" s="15">
        <v>20065786.314999998</v>
      </c>
      <c r="J33" s="15">
        <v>17579289.039999999</v>
      </c>
    </row>
    <row r="34" spans="1:10" ht="16.5">
      <c r="A34" s="24">
        <v>26594914.755666666</v>
      </c>
      <c r="B34" s="24">
        <v>797847442.66999996</v>
      </c>
      <c r="C34" s="24">
        <v>26401713.803225808</v>
      </c>
      <c r="D34" s="24">
        <v>818453127.89999998</v>
      </c>
      <c r="E34" s="24">
        <v>28253897.488666669</v>
      </c>
      <c r="F34" s="24">
        <v>847616924.66000009</v>
      </c>
      <c r="G34" s="23" t="s">
        <v>24</v>
      </c>
      <c r="H34" s="24">
        <v>58845305.920000002</v>
      </c>
      <c r="I34" s="24">
        <v>29422652.960000001</v>
      </c>
      <c r="J34" s="24">
        <v>26685782.989999998</v>
      </c>
    </row>
    <row r="35" spans="1:10" ht="15">
      <c r="A35" s="17"/>
      <c r="B35" s="17"/>
      <c r="C35" s="17"/>
      <c r="D35" s="17"/>
      <c r="E35" s="17"/>
      <c r="F35" s="17"/>
      <c r="G35" s="25"/>
      <c r="H35" s="17"/>
      <c r="I35" s="17"/>
      <c r="J35" s="17"/>
    </row>
    <row r="36" spans="1:10" ht="16.5">
      <c r="A36" s="17"/>
      <c r="B36" s="17"/>
      <c r="C36" s="17"/>
      <c r="D36" s="17"/>
      <c r="E36" s="17"/>
      <c r="F36" s="17"/>
      <c r="G36" s="22" t="s">
        <v>21</v>
      </c>
      <c r="H36" s="17"/>
      <c r="I36" s="17"/>
      <c r="J36" s="17"/>
    </row>
    <row r="37" spans="1:10" ht="15">
      <c r="A37" s="17">
        <v>25148845.672000002</v>
      </c>
      <c r="B37" s="17">
        <v>754465370.16000009</v>
      </c>
      <c r="C37" s="17">
        <v>24937813.347096771</v>
      </c>
      <c r="D37" s="17">
        <v>773072213.75999999</v>
      </c>
      <c r="E37" s="17">
        <v>27316637.163666669</v>
      </c>
      <c r="F37" s="17">
        <v>819499114.91000009</v>
      </c>
      <c r="G37" s="16" t="s">
        <v>25</v>
      </c>
      <c r="H37" s="17">
        <v>56651119.819999993</v>
      </c>
      <c r="I37" s="17">
        <v>28325559.909999996</v>
      </c>
      <c r="J37" s="17">
        <v>25945196.239999998</v>
      </c>
    </row>
    <row r="38" spans="1:10" ht="15">
      <c r="A38" s="17">
        <v>1446069.0843333332</v>
      </c>
      <c r="B38" s="17">
        <v>43382072.529999994</v>
      </c>
      <c r="C38" s="17">
        <v>1463900.4564516128</v>
      </c>
      <c r="D38" s="17">
        <v>45380914.149999999</v>
      </c>
      <c r="E38" s="17">
        <v>937260.32499999995</v>
      </c>
      <c r="F38" s="17">
        <v>28117809.75</v>
      </c>
      <c r="G38" s="16" t="s">
        <v>26</v>
      </c>
      <c r="H38" s="17">
        <v>2194186.1</v>
      </c>
      <c r="I38" s="17">
        <v>1097093.05</v>
      </c>
      <c r="J38" s="17">
        <v>740586.75</v>
      </c>
    </row>
    <row r="39" spans="1:10" ht="16.5">
      <c r="A39" s="24">
        <v>26594914.756333336</v>
      </c>
      <c r="B39" s="24">
        <v>797847442.69000006</v>
      </c>
      <c r="C39" s="24">
        <v>26401713.803548384</v>
      </c>
      <c r="D39" s="24">
        <v>818453127.90999997</v>
      </c>
      <c r="E39" s="24">
        <v>28253897.488666669</v>
      </c>
      <c r="F39" s="24">
        <v>847616924.66000009</v>
      </c>
      <c r="G39" s="23" t="s">
        <v>24</v>
      </c>
      <c r="H39" s="24">
        <v>58845305.920000002</v>
      </c>
      <c r="I39" s="24">
        <v>29422652.960000001</v>
      </c>
      <c r="J39" s="24">
        <v>26685782.989999998</v>
      </c>
    </row>
    <row r="40" spans="1:10" ht="15">
      <c r="A40" s="17"/>
      <c r="B40" s="17"/>
      <c r="C40" s="17"/>
      <c r="D40" s="17"/>
      <c r="E40" s="17"/>
      <c r="F40" s="17"/>
      <c r="G40" s="25"/>
      <c r="H40" s="17"/>
      <c r="I40" s="17"/>
      <c r="J40" s="17"/>
    </row>
    <row r="41" spans="1:10" ht="16.5">
      <c r="A41" s="17"/>
      <c r="B41" s="17"/>
      <c r="C41" s="17"/>
      <c r="D41" s="17"/>
      <c r="E41" s="17"/>
      <c r="F41" s="17"/>
      <c r="G41" s="22" t="s">
        <v>21</v>
      </c>
      <c r="H41" s="17"/>
      <c r="I41" s="17"/>
      <c r="J41" s="17"/>
    </row>
    <row r="42" spans="1:10" ht="16.5">
      <c r="A42" s="17"/>
      <c r="B42" s="17"/>
      <c r="C42" s="17"/>
      <c r="D42" s="17"/>
      <c r="E42" s="17"/>
      <c r="F42" s="17"/>
      <c r="G42" s="22"/>
      <c r="H42" s="17"/>
      <c r="I42" s="17"/>
      <c r="J42" s="17"/>
    </row>
    <row r="43" spans="1:10" ht="18">
      <c r="A43" s="15"/>
      <c r="B43" s="15"/>
      <c r="C43" s="15"/>
      <c r="D43" s="15"/>
      <c r="E43" s="15"/>
      <c r="F43" s="15"/>
      <c r="G43" s="26" t="s">
        <v>27</v>
      </c>
      <c r="H43" s="15"/>
      <c r="I43" s="15"/>
      <c r="J43" s="15"/>
    </row>
    <row r="44" spans="1:10" ht="15.75">
      <c r="A44" s="15">
        <v>15356913.085000003</v>
      </c>
      <c r="B44" s="15">
        <v>460707392.55000007</v>
      </c>
      <c r="C44" s="15">
        <v>14745637.771290321</v>
      </c>
      <c r="D44" s="15">
        <v>457114770.90999997</v>
      </c>
      <c r="E44" s="15">
        <v>16356440.978333334</v>
      </c>
      <c r="F44" s="15">
        <v>490693229.35000002</v>
      </c>
      <c r="G44" s="9" t="s">
        <v>25</v>
      </c>
      <c r="H44" s="15">
        <v>33936894.370000005</v>
      </c>
      <c r="I44" s="15">
        <v>16968447.185000002</v>
      </c>
      <c r="J44" s="15">
        <v>16019914.59</v>
      </c>
    </row>
    <row r="45" spans="1:10" ht="15.75">
      <c r="A45" s="15">
        <v>312972.73099999991</v>
      </c>
      <c r="B45" s="15">
        <v>9389181.9299999978</v>
      </c>
      <c r="C45" s="15">
        <v>479109.62870967743</v>
      </c>
      <c r="D45" s="15">
        <v>14852398.49</v>
      </c>
      <c r="E45" s="15">
        <v>396202.71733333333</v>
      </c>
      <c r="F45" s="15">
        <v>11886081.52</v>
      </c>
      <c r="G45" s="9" t="s">
        <v>26</v>
      </c>
      <c r="H45" s="15">
        <v>1584996.8699999999</v>
      </c>
      <c r="I45" s="15">
        <v>792498.43499999994</v>
      </c>
      <c r="J45" s="15">
        <v>304179.19</v>
      </c>
    </row>
    <row r="46" spans="1:10" ht="15">
      <c r="A46" s="15"/>
      <c r="B46" s="15"/>
      <c r="C46" s="15"/>
      <c r="D46" s="15"/>
      <c r="E46" s="15"/>
      <c r="F46" s="15"/>
      <c r="G46" s="16"/>
      <c r="H46" s="15"/>
      <c r="I46" s="15"/>
      <c r="J46" s="15"/>
    </row>
    <row r="47" spans="1:10" ht="18">
      <c r="A47" s="15"/>
      <c r="B47" s="15"/>
      <c r="C47" s="15"/>
      <c r="D47" s="15"/>
      <c r="E47" s="15"/>
      <c r="F47" s="15"/>
      <c r="G47" s="26" t="s">
        <v>28</v>
      </c>
      <c r="H47" s="15"/>
      <c r="I47" s="15"/>
      <c r="J47" s="15"/>
    </row>
    <row r="48" spans="1:10" ht="15.75">
      <c r="A48" s="15">
        <v>9791932.5869999994</v>
      </c>
      <c r="B48" s="15">
        <v>293757977.61000001</v>
      </c>
      <c r="C48" s="15">
        <v>10192175.57580645</v>
      </c>
      <c r="D48" s="15">
        <v>315957442.84999996</v>
      </c>
      <c r="E48" s="15">
        <v>10960186.185333334</v>
      </c>
      <c r="F48" s="15">
        <v>328805585.56</v>
      </c>
      <c r="G48" s="9" t="s">
        <v>25</v>
      </c>
      <c r="H48" s="15">
        <v>22714225.450000003</v>
      </c>
      <c r="I48" s="15">
        <v>11357112.725000001</v>
      </c>
      <c r="J48" s="15">
        <v>9925281.6500000004</v>
      </c>
    </row>
    <row r="49" spans="1:10" ht="15">
      <c r="A49" s="17">
        <v>2956538.4573333329</v>
      </c>
      <c r="B49" s="17">
        <v>88696153.719999984</v>
      </c>
      <c r="C49" s="17">
        <v>2837884.3412903226</v>
      </c>
      <c r="D49" s="17">
        <v>87974414.579999998</v>
      </c>
      <c r="E49" s="17">
        <v>3193959.7213333328</v>
      </c>
      <c r="F49" s="17">
        <v>95818791.639999986</v>
      </c>
      <c r="G49" s="16" t="s">
        <v>29</v>
      </c>
      <c r="H49" s="17">
        <v>8130245.3899999997</v>
      </c>
      <c r="I49" s="17">
        <v>4065122.6949999998</v>
      </c>
      <c r="J49" s="17">
        <v>3686852.58</v>
      </c>
    </row>
    <row r="50" spans="1:10" ht="15">
      <c r="A50" s="17">
        <v>114988.73699999999</v>
      </c>
      <c r="B50" s="17">
        <v>3449662.11</v>
      </c>
      <c r="C50" s="17">
        <v>115145.89548387098</v>
      </c>
      <c r="D50" s="17">
        <v>3569522.7600000002</v>
      </c>
      <c r="E50" s="17">
        <v>64290.700333333334</v>
      </c>
      <c r="F50" s="17">
        <v>1928721.01</v>
      </c>
      <c r="G50" s="16" t="s">
        <v>30</v>
      </c>
      <c r="H50" s="17">
        <v>60948.9</v>
      </c>
      <c r="I50" s="17">
        <v>30474.45</v>
      </c>
      <c r="J50" s="17">
        <v>60948.9</v>
      </c>
    </row>
    <row r="51" spans="1:10" ht="15">
      <c r="A51" s="17">
        <v>5792975.1653333334</v>
      </c>
      <c r="B51" s="17">
        <v>173789254.96000001</v>
      </c>
      <c r="C51" s="17">
        <v>6153580.188387095</v>
      </c>
      <c r="D51" s="17">
        <v>190760985.83999994</v>
      </c>
      <c r="E51" s="17">
        <v>6843860.5746666668</v>
      </c>
      <c r="F51" s="17">
        <v>205315817.24000001</v>
      </c>
      <c r="G51" s="16" t="s">
        <v>31</v>
      </c>
      <c r="H51" s="17">
        <v>12493767.719999999</v>
      </c>
      <c r="I51" s="17">
        <v>6246883.8599999994</v>
      </c>
      <c r="J51" s="17">
        <v>5645899.6200000001</v>
      </c>
    </row>
    <row r="52" spans="1:10" ht="15">
      <c r="A52" s="17">
        <v>927430.22733333323</v>
      </c>
      <c r="B52" s="17">
        <v>27822906.819999997</v>
      </c>
      <c r="C52" s="17">
        <v>1085565.150645161</v>
      </c>
      <c r="D52" s="17">
        <v>33652519.669999994</v>
      </c>
      <c r="E52" s="17">
        <v>858075.18900000001</v>
      </c>
      <c r="F52" s="17">
        <v>25742255.670000002</v>
      </c>
      <c r="G52" s="16" t="s">
        <v>32</v>
      </c>
      <c r="H52" s="17">
        <v>2029263.44</v>
      </c>
      <c r="I52" s="17">
        <v>1014631.72</v>
      </c>
      <c r="J52" s="17">
        <v>531580.55000000005</v>
      </c>
    </row>
    <row r="53" spans="1:10" ht="15">
      <c r="A53" s="17"/>
      <c r="B53" s="17"/>
      <c r="C53" s="17"/>
      <c r="D53" s="17"/>
      <c r="E53" s="17"/>
      <c r="F53" s="17"/>
      <c r="G53" s="16"/>
      <c r="H53" s="17"/>
      <c r="I53" s="17"/>
      <c r="J53" s="17"/>
    </row>
    <row r="54" spans="1:10" ht="15.75">
      <c r="A54" s="15">
        <v>1133096.3533333333</v>
      </c>
      <c r="B54" s="15">
        <v>33992890.599999994</v>
      </c>
      <c r="C54" s="15">
        <v>984790.82774193527</v>
      </c>
      <c r="D54" s="15">
        <v>30528515.659999996</v>
      </c>
      <c r="E54" s="15">
        <v>541067.60666666657</v>
      </c>
      <c r="F54" s="15">
        <v>16232028.199999997</v>
      </c>
      <c r="G54" s="9" t="s">
        <v>26</v>
      </c>
      <c r="H54" s="15">
        <v>609189.23</v>
      </c>
      <c r="I54" s="15">
        <v>304594.61499999999</v>
      </c>
      <c r="J54" s="15">
        <v>436407.56</v>
      </c>
    </row>
    <row r="55" spans="1:10" ht="15">
      <c r="A55" s="17">
        <v>1041864.0303333332</v>
      </c>
      <c r="B55" s="17">
        <v>31255920.909999996</v>
      </c>
      <c r="C55" s="17">
        <v>707343.24677419337</v>
      </c>
      <c r="D55" s="17">
        <v>21927640.649999995</v>
      </c>
      <c r="E55" s="17">
        <v>405154.02133333322</v>
      </c>
      <c r="F55" s="17">
        <v>12154620.639999997</v>
      </c>
      <c r="G55" s="16" t="s">
        <v>33</v>
      </c>
      <c r="H55" s="17">
        <v>609189.23</v>
      </c>
      <c r="I55" s="17">
        <v>304594.61499999999</v>
      </c>
      <c r="J55" s="17">
        <v>436407.56</v>
      </c>
    </row>
    <row r="56" spans="1:10" ht="15">
      <c r="A56" s="17">
        <v>91232.323000000004</v>
      </c>
      <c r="B56" s="17">
        <v>2736969.69</v>
      </c>
      <c r="C56" s="17">
        <v>277447.5809677419</v>
      </c>
      <c r="D56" s="17">
        <v>8600875.0099999998</v>
      </c>
      <c r="E56" s="17">
        <v>135913.58533333332</v>
      </c>
      <c r="F56" s="17">
        <v>4077407.56</v>
      </c>
      <c r="G56" s="16" t="s">
        <v>32</v>
      </c>
      <c r="H56" s="17">
        <v>0</v>
      </c>
      <c r="I56" s="17">
        <v>0</v>
      </c>
      <c r="J56" s="17"/>
    </row>
    <row r="57" spans="1:10" ht="16.5">
      <c r="A57" s="24">
        <v>26594914.756333336</v>
      </c>
      <c r="B57" s="24">
        <v>797847442.69000018</v>
      </c>
      <c r="C57" s="24">
        <v>26401713.803548384</v>
      </c>
      <c r="D57" s="24">
        <v>818453127.90999997</v>
      </c>
      <c r="E57" s="24">
        <v>28253897.48766667</v>
      </c>
      <c r="F57" s="24">
        <v>847616924.63000011</v>
      </c>
      <c r="G57" s="23" t="s">
        <v>24</v>
      </c>
      <c r="H57" s="24">
        <v>58845305.920000002</v>
      </c>
      <c r="I57" s="24">
        <v>29422652.960000001</v>
      </c>
      <c r="J57" s="24">
        <v>26685782.989999998</v>
      </c>
    </row>
    <row r="58" spans="1:10" ht="15">
      <c r="A58" s="15"/>
      <c r="B58" s="15"/>
      <c r="C58" s="15"/>
      <c r="D58" s="15"/>
      <c r="E58" s="15"/>
      <c r="F58" s="15"/>
      <c r="G58" s="25"/>
      <c r="H58" s="15"/>
      <c r="I58" s="15"/>
      <c r="J58" s="15"/>
    </row>
    <row r="59" spans="1:10" ht="19.5">
      <c r="A59" s="31"/>
      <c r="B59" s="31"/>
      <c r="C59" s="31"/>
      <c r="D59" s="31"/>
      <c r="E59" s="31"/>
      <c r="F59" s="31"/>
      <c r="G59" s="25"/>
      <c r="H59" s="31"/>
      <c r="I59" s="31"/>
      <c r="J59" s="31"/>
    </row>
    <row r="60" spans="1:10" ht="16.5">
      <c r="A60" s="28">
        <v>8167677.291333341</v>
      </c>
      <c r="B60" s="28">
        <v>245030318.74000022</v>
      </c>
      <c r="C60" s="28">
        <v>8148915.1151612997</v>
      </c>
      <c r="D60" s="28">
        <v>252616368.57000029</v>
      </c>
      <c r="E60" s="28">
        <v>8480982.3639999963</v>
      </c>
      <c r="F60" s="28">
        <v>254429470.91999987</v>
      </c>
      <c r="G60" s="27" t="s">
        <v>34</v>
      </c>
      <c r="H60" s="28">
        <v>18875252.029999986</v>
      </c>
      <c r="I60" s="28">
        <v>9437626.0149999931</v>
      </c>
      <c r="J60" s="28">
        <v>9978285.4600000121</v>
      </c>
    </row>
    <row r="61" spans="1:10" ht="16.5">
      <c r="A61" s="15"/>
      <c r="B61" s="15"/>
      <c r="C61" s="15"/>
      <c r="D61" s="15"/>
      <c r="E61" s="15"/>
      <c r="F61" s="15"/>
      <c r="G61" s="22"/>
      <c r="H61" s="15"/>
      <c r="I61" s="15"/>
      <c r="J61" s="15"/>
    </row>
    <row r="62" spans="1:10" ht="15">
      <c r="A62" s="17"/>
      <c r="B62" s="17"/>
      <c r="C62" s="17"/>
      <c r="D62" s="17"/>
      <c r="E62" s="17"/>
      <c r="F62" s="17"/>
      <c r="G62" s="25"/>
      <c r="H62" s="17"/>
      <c r="I62" s="17"/>
      <c r="J62" s="17"/>
    </row>
    <row r="63" spans="1:10" ht="16.5">
      <c r="A63" s="24">
        <v>18427237.464999996</v>
      </c>
      <c r="B63" s="24">
        <v>552817123.94999993</v>
      </c>
      <c r="C63" s="24">
        <v>18252798.688387085</v>
      </c>
      <c r="D63" s="24">
        <v>565836759.33999968</v>
      </c>
      <c r="E63" s="24">
        <v>19772915.123666678</v>
      </c>
      <c r="F63" s="24">
        <v>593187453.71000028</v>
      </c>
      <c r="G63" s="23" t="s">
        <v>35</v>
      </c>
      <c r="H63" s="24">
        <v>39970053.890000015</v>
      </c>
      <c r="I63" s="24">
        <v>19985026.945000008</v>
      </c>
      <c r="J63" s="24">
        <v>16707497.529999986</v>
      </c>
    </row>
    <row r="64" spans="1:10" ht="15">
      <c r="A64" s="17"/>
      <c r="B64" s="17"/>
      <c r="C64" s="17"/>
      <c r="D64" s="17"/>
      <c r="E64" s="17"/>
      <c r="F64" s="17"/>
      <c r="G64" s="25"/>
      <c r="H64" s="17"/>
      <c r="I64" s="17"/>
      <c r="J64" s="17"/>
    </row>
    <row r="65" spans="1:10" ht="15">
      <c r="A65" s="17"/>
      <c r="B65" s="17"/>
      <c r="C65" s="17"/>
      <c r="D65" s="17"/>
      <c r="E65" s="17"/>
      <c r="F65" s="17"/>
      <c r="G65" s="25"/>
      <c r="H65" s="17"/>
      <c r="I65" s="17"/>
      <c r="J65" s="17"/>
    </row>
    <row r="66" spans="1:10" ht="16.5">
      <c r="A66" s="15"/>
      <c r="B66" s="15"/>
      <c r="C66" s="15"/>
      <c r="D66" s="15"/>
      <c r="E66" s="15"/>
      <c r="F66" s="15"/>
      <c r="G66" s="22" t="s">
        <v>36</v>
      </c>
      <c r="H66" s="15"/>
      <c r="I66" s="15"/>
      <c r="J66" s="15"/>
    </row>
    <row r="67" spans="1:10" ht="15">
      <c r="A67" s="17">
        <v>5910105.9333399972</v>
      </c>
      <c r="B67" s="17">
        <v>177303178.00019991</v>
      </c>
      <c r="C67" s="17">
        <v>5866329.9354838692</v>
      </c>
      <c r="D67" s="17">
        <v>181856227.99999994</v>
      </c>
      <c r="E67" s="17">
        <v>5787811.3000699989</v>
      </c>
      <c r="F67" s="17">
        <v>173634339.00209996</v>
      </c>
      <c r="G67" s="16" t="s">
        <v>37</v>
      </c>
      <c r="H67" s="17">
        <v>7516156.0000000037</v>
      </c>
      <c r="I67" s="17">
        <v>3758078.0000000019</v>
      </c>
      <c r="J67" s="17">
        <v>4098908.0000000037</v>
      </c>
    </row>
    <row r="68" spans="1:10" ht="15">
      <c r="A68" s="17">
        <v>11196551.166666666</v>
      </c>
      <c r="B68" s="17">
        <v>335896535</v>
      </c>
      <c r="C68" s="17">
        <v>10592793.677419355</v>
      </c>
      <c r="D68" s="17">
        <v>328376604</v>
      </c>
      <c r="E68" s="17">
        <v>10760387.4</v>
      </c>
      <c r="F68" s="17">
        <v>322811622</v>
      </c>
      <c r="G68" s="16" t="s">
        <v>38</v>
      </c>
      <c r="H68" s="17">
        <v>22769938</v>
      </c>
      <c r="I68" s="17">
        <v>11384969</v>
      </c>
      <c r="J68" s="17">
        <v>11128537</v>
      </c>
    </row>
    <row r="69" spans="1:10" ht="15">
      <c r="A69" s="17">
        <v>14119849.986333333</v>
      </c>
      <c r="B69" s="17">
        <v>423595499.58999997</v>
      </c>
      <c r="C69" s="17">
        <v>12954746.589999998</v>
      </c>
      <c r="D69" s="17">
        <v>402540199.28999996</v>
      </c>
      <c r="E69" s="17">
        <v>18774984.126666665</v>
      </c>
      <c r="F69" s="17">
        <v>563249523.79999995</v>
      </c>
      <c r="G69" s="16" t="s">
        <v>39</v>
      </c>
      <c r="H69" s="17">
        <v>29074733.32</v>
      </c>
      <c r="I69" s="17">
        <v>14537366.66</v>
      </c>
      <c r="J69" s="17">
        <v>17608836.539999999</v>
      </c>
    </row>
    <row r="70" spans="1:10" ht="15">
      <c r="A70" s="17">
        <v>0</v>
      </c>
      <c r="B70" s="17">
        <v>0</v>
      </c>
      <c r="C70" s="17">
        <v>577.29032258064512</v>
      </c>
      <c r="D70" s="17">
        <v>17896</v>
      </c>
      <c r="E70" s="17">
        <v>400494.33333333331</v>
      </c>
      <c r="F70" s="17">
        <v>12014830</v>
      </c>
      <c r="G70" s="16" t="s">
        <v>40</v>
      </c>
      <c r="H70" s="17">
        <v>0</v>
      </c>
      <c r="I70" s="17">
        <v>0</v>
      </c>
      <c r="J70" s="17">
        <v>0</v>
      </c>
    </row>
    <row r="71" spans="1:10" ht="15">
      <c r="A71" s="17">
        <v>58626.23333333333</v>
      </c>
      <c r="B71" s="17">
        <v>1758787</v>
      </c>
      <c r="C71" s="17">
        <v>33986.806451612902</v>
      </c>
      <c r="D71" s="17">
        <v>1053591</v>
      </c>
      <c r="E71" s="17">
        <v>222898.26666666666</v>
      </c>
      <c r="F71" s="17">
        <v>6686948</v>
      </c>
      <c r="G71" s="29" t="s">
        <v>41</v>
      </c>
      <c r="H71" s="17">
        <v>582352</v>
      </c>
      <c r="I71" s="17">
        <v>291176</v>
      </c>
      <c r="J71" s="17">
        <v>344541</v>
      </c>
    </row>
    <row r="72" spans="1:10" ht="15">
      <c r="A72" s="17">
        <v>1888063.8</v>
      </c>
      <c r="B72" s="17">
        <v>56641914</v>
      </c>
      <c r="C72" s="17">
        <v>2239699.4954838711</v>
      </c>
      <c r="D72" s="17">
        <v>69430684.359999999</v>
      </c>
      <c r="E72" s="17">
        <v>1608721.9666666666</v>
      </c>
      <c r="F72" s="17">
        <v>48261659</v>
      </c>
      <c r="G72" s="29" t="s">
        <v>42</v>
      </c>
      <c r="H72" s="17">
        <v>4282054</v>
      </c>
      <c r="I72" s="17">
        <v>2141027</v>
      </c>
      <c r="J72" s="17">
        <v>3292406</v>
      </c>
    </row>
    <row r="73" spans="1:10" ht="17.25" thickBot="1">
      <c r="A73" s="24">
        <v>29279817.05300666</v>
      </c>
      <c r="B73" s="24">
        <v>878394511.59019995</v>
      </c>
      <c r="C73" s="24">
        <v>27140761.191290319</v>
      </c>
      <c r="D73" s="24">
        <v>842306651.92999995</v>
      </c>
      <c r="E73" s="24">
        <v>33892056.926736668</v>
      </c>
      <c r="F73" s="24">
        <v>1016761707.8020999</v>
      </c>
      <c r="G73" s="30" t="s">
        <v>43</v>
      </c>
      <c r="H73" s="24">
        <v>64225233.320000008</v>
      </c>
      <c r="I73" s="24">
        <v>32112616.660000004</v>
      </c>
      <c r="J73" s="24">
        <v>36473228.540000007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workbookViewId="0">
      <selection activeCell="I4" sqref="I4"/>
    </sheetView>
  </sheetViews>
  <sheetFormatPr defaultRowHeight="14.25"/>
  <cols>
    <col min="1" max="1" width="13.375" customWidth="1"/>
    <col min="2" max="2" width="13.875" customWidth="1"/>
    <col min="3" max="3" width="13.75" customWidth="1"/>
    <col min="4" max="4" width="13.25" customWidth="1"/>
    <col min="5" max="5" width="13.75" customWidth="1"/>
    <col min="6" max="6" width="14.5" customWidth="1"/>
    <col min="7" max="7" width="30.875" customWidth="1"/>
    <col min="8" max="8" width="14.625" customWidth="1"/>
    <col min="9" max="9" width="15.75" customWidth="1"/>
    <col min="10" max="11" width="14.625" style="60" customWidth="1"/>
    <col min="12" max="12" width="12.375" bestFit="1" customWidth="1"/>
  </cols>
  <sheetData>
    <row r="1" spans="1:11" ht="30.75" thickBot="1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95</v>
      </c>
      <c r="G1" s="3" t="s">
        <v>1</v>
      </c>
      <c r="H1" s="4" t="s">
        <v>89</v>
      </c>
      <c r="I1" s="4" t="s">
        <v>97</v>
      </c>
      <c r="J1" s="61" t="s">
        <v>98</v>
      </c>
      <c r="K1" s="4" t="s">
        <v>88</v>
      </c>
    </row>
    <row r="2" spans="1:11" ht="15.75">
      <c r="A2" s="6"/>
      <c r="B2" s="6"/>
      <c r="C2" s="6"/>
      <c r="D2" s="6"/>
      <c r="E2" s="6"/>
      <c r="F2" s="6"/>
      <c r="G2" s="5"/>
      <c r="H2" s="6"/>
      <c r="I2" s="6"/>
      <c r="J2" s="62"/>
      <c r="K2" s="62"/>
    </row>
    <row r="3" spans="1:11" ht="16.5">
      <c r="A3" s="8"/>
      <c r="B3" s="8"/>
      <c r="C3" s="8"/>
      <c r="D3" s="8"/>
      <c r="E3" s="8"/>
      <c r="F3" s="8"/>
      <c r="G3" s="7" t="s">
        <v>2</v>
      </c>
      <c r="H3" s="8"/>
      <c r="I3" s="8"/>
      <c r="J3" s="32"/>
      <c r="K3" s="32"/>
    </row>
    <row r="4" spans="1:11" ht="15.75">
      <c r="A4" s="8">
        <v>1000</v>
      </c>
      <c r="B4" s="8">
        <v>1000</v>
      </c>
      <c r="C4" s="8">
        <v>1000</v>
      </c>
      <c r="D4" s="8">
        <v>1000</v>
      </c>
      <c r="E4" s="8">
        <v>1000</v>
      </c>
      <c r="F4" s="8">
        <v>30000</v>
      </c>
      <c r="G4" s="9" t="s">
        <v>3</v>
      </c>
      <c r="H4" s="8">
        <v>1000</v>
      </c>
      <c r="I4" s="8">
        <v>1000</v>
      </c>
      <c r="J4" s="32"/>
      <c r="K4" s="32"/>
    </row>
    <row r="5" spans="1:11" ht="15.75">
      <c r="A5" s="32">
        <v>930.33333333333337</v>
      </c>
      <c r="B5" s="32">
        <v>930.33333333333337</v>
      </c>
      <c r="C5" s="33">
        <v>967</v>
      </c>
      <c r="D5" s="33">
        <v>967</v>
      </c>
      <c r="E5" s="33">
        <v>983.5</v>
      </c>
      <c r="F5" s="8">
        <v>29505</v>
      </c>
      <c r="G5" s="9" t="s">
        <v>4</v>
      </c>
      <c r="H5" s="33">
        <v>936.71428571428567</v>
      </c>
      <c r="I5" s="8">
        <v>994</v>
      </c>
      <c r="J5" s="32"/>
      <c r="K5" s="32"/>
    </row>
    <row r="6" spans="1:11" ht="16.5">
      <c r="A6" s="11">
        <v>0.93033333333333335</v>
      </c>
      <c r="B6" s="11">
        <v>0.93033333333333335</v>
      </c>
      <c r="C6" s="11">
        <v>0.96699999999999997</v>
      </c>
      <c r="D6" s="11">
        <v>0.96699999999999997</v>
      </c>
      <c r="E6" s="11">
        <v>0.98350000000000004</v>
      </c>
      <c r="F6" s="11">
        <v>0.98350000000000004</v>
      </c>
      <c r="G6" s="10" t="s">
        <v>5</v>
      </c>
      <c r="H6" s="11">
        <v>0.93671428571428561</v>
      </c>
      <c r="I6" s="11">
        <v>0.99399999999999999</v>
      </c>
      <c r="J6" s="63"/>
      <c r="K6" s="63"/>
    </row>
    <row r="7" spans="1:11" ht="15">
      <c r="A7" s="32"/>
      <c r="B7" s="32"/>
      <c r="C7" s="32"/>
      <c r="D7" s="32"/>
      <c r="E7" s="32"/>
      <c r="F7" s="32"/>
      <c r="G7" s="12"/>
      <c r="H7" s="32"/>
      <c r="I7" s="32"/>
      <c r="J7" s="32"/>
      <c r="K7" s="32"/>
    </row>
    <row r="8" spans="1:11" ht="16.5">
      <c r="A8" s="32"/>
      <c r="B8" s="32"/>
      <c r="C8" s="32"/>
      <c r="D8" s="32"/>
      <c r="E8" s="32"/>
      <c r="F8" s="32"/>
      <c r="G8" s="13" t="s">
        <v>6</v>
      </c>
      <c r="H8" s="32"/>
      <c r="I8" s="32"/>
      <c r="J8" s="32"/>
      <c r="K8" s="32"/>
    </row>
    <row r="9" spans="1:11" ht="15.75">
      <c r="A9" s="15">
        <v>345.4</v>
      </c>
      <c r="B9" s="15">
        <v>10362</v>
      </c>
      <c r="C9" s="15">
        <v>356.48387096774195</v>
      </c>
      <c r="D9" s="15">
        <v>11051</v>
      </c>
      <c r="E9" s="15">
        <v>386.16666666666669</v>
      </c>
      <c r="F9" s="15">
        <v>11585</v>
      </c>
      <c r="G9" s="14" t="s">
        <v>7</v>
      </c>
      <c r="H9" s="15">
        <v>390</v>
      </c>
      <c r="I9" s="15">
        <v>465</v>
      </c>
      <c r="J9" s="15"/>
      <c r="K9" s="15"/>
    </row>
    <row r="10" spans="1:11" ht="15.75">
      <c r="A10" s="15">
        <v>3003.3666666666668</v>
      </c>
      <c r="B10" s="15">
        <v>90101</v>
      </c>
      <c r="C10" s="15">
        <v>3099.8064516129034</v>
      </c>
      <c r="D10" s="15">
        <v>96094</v>
      </c>
      <c r="E10" s="15">
        <v>3273.0333333333333</v>
      </c>
      <c r="F10" s="15">
        <v>98191</v>
      </c>
      <c r="G10" s="14" t="s">
        <v>8</v>
      </c>
      <c r="H10" s="15">
        <v>3369.8571428571427</v>
      </c>
      <c r="I10" s="15">
        <v>4020</v>
      </c>
      <c r="J10" s="15"/>
      <c r="K10" s="15"/>
    </row>
    <row r="11" spans="1:11" ht="15.75">
      <c r="A11" s="15">
        <v>260.26666666666665</v>
      </c>
      <c r="B11" s="15">
        <v>7808</v>
      </c>
      <c r="C11" s="15">
        <v>260.51612903225799</v>
      </c>
      <c r="D11" s="15">
        <v>8076</v>
      </c>
      <c r="E11" s="15">
        <v>283.83333333333331</v>
      </c>
      <c r="F11" s="15">
        <v>8515</v>
      </c>
      <c r="G11" s="14" t="s">
        <v>9</v>
      </c>
      <c r="H11" s="15">
        <v>276.14285714285717</v>
      </c>
      <c r="I11" s="15">
        <v>336</v>
      </c>
      <c r="J11" s="15"/>
      <c r="K11" s="15"/>
    </row>
    <row r="12" spans="1:11" ht="15">
      <c r="A12" s="17">
        <v>200.76666666666668</v>
      </c>
      <c r="B12" s="17">
        <v>6023</v>
      </c>
      <c r="C12" s="17">
        <v>194.45161290322579</v>
      </c>
      <c r="D12" s="17">
        <v>6028</v>
      </c>
      <c r="E12" s="17">
        <v>211.73333333333332</v>
      </c>
      <c r="F12" s="17">
        <v>6352</v>
      </c>
      <c r="G12" s="16" t="s">
        <v>10</v>
      </c>
      <c r="H12" s="17">
        <v>207.71428571428572</v>
      </c>
      <c r="I12" s="17">
        <v>241</v>
      </c>
      <c r="J12" s="17"/>
      <c r="K12" s="17"/>
    </row>
    <row r="13" spans="1:11" ht="15">
      <c r="A13" s="17">
        <v>30.2</v>
      </c>
      <c r="B13" s="17">
        <v>906</v>
      </c>
      <c r="C13" s="17">
        <v>35.58064516129032</v>
      </c>
      <c r="D13" s="17">
        <v>1103</v>
      </c>
      <c r="E13" s="17">
        <v>37.5</v>
      </c>
      <c r="F13" s="17">
        <v>1125</v>
      </c>
      <c r="G13" s="16" t="s">
        <v>11</v>
      </c>
      <c r="H13" s="17">
        <v>36</v>
      </c>
      <c r="I13" s="17">
        <v>51</v>
      </c>
      <c r="J13" s="17"/>
      <c r="K13" s="17"/>
    </row>
    <row r="14" spans="1:11" ht="15">
      <c r="A14" s="17">
        <v>25.866666666666667</v>
      </c>
      <c r="B14" s="17">
        <v>776</v>
      </c>
      <c r="C14" s="17">
        <v>27</v>
      </c>
      <c r="D14" s="17">
        <v>837</v>
      </c>
      <c r="E14" s="17">
        <v>31.4</v>
      </c>
      <c r="F14" s="17">
        <v>942</v>
      </c>
      <c r="G14" s="16" t="s">
        <v>12</v>
      </c>
      <c r="H14" s="17">
        <v>29.285714285714285</v>
      </c>
      <c r="I14" s="17">
        <v>42</v>
      </c>
      <c r="J14" s="17"/>
      <c r="K14" s="17"/>
    </row>
    <row r="15" spans="1:11" ht="15">
      <c r="A15" s="17">
        <v>0.76666666666666672</v>
      </c>
      <c r="B15" s="17">
        <v>23</v>
      </c>
      <c r="C15" s="17">
        <v>0.83870967741935487</v>
      </c>
      <c r="D15" s="17">
        <v>26</v>
      </c>
      <c r="E15" s="17">
        <v>0.33333333333333331</v>
      </c>
      <c r="F15" s="17">
        <v>10</v>
      </c>
      <c r="G15" s="16" t="s">
        <v>13</v>
      </c>
      <c r="H15" s="17">
        <v>0.2857142857142857</v>
      </c>
      <c r="I15" s="17">
        <v>0</v>
      </c>
      <c r="J15" s="17"/>
      <c r="K15" s="17"/>
    </row>
    <row r="16" spans="1:11" ht="15">
      <c r="A16" s="17">
        <v>2.6666666666666665</v>
      </c>
      <c r="B16" s="17">
        <v>80</v>
      </c>
      <c r="C16" s="17">
        <v>2.6451612903225805</v>
      </c>
      <c r="D16" s="17">
        <v>82</v>
      </c>
      <c r="E16" s="17">
        <v>2.8666666666666667</v>
      </c>
      <c r="F16" s="17">
        <v>86</v>
      </c>
      <c r="G16" s="16" t="s">
        <v>14</v>
      </c>
      <c r="H16" s="17">
        <v>2.8571428571428572</v>
      </c>
      <c r="I16" s="17">
        <v>2</v>
      </c>
      <c r="J16" s="17"/>
      <c r="K16" s="17"/>
    </row>
    <row r="17" spans="1:11" ht="15">
      <c r="A17" s="17"/>
      <c r="B17" s="17"/>
      <c r="C17" s="17"/>
      <c r="D17" s="17"/>
      <c r="E17" s="17"/>
      <c r="F17" s="17"/>
      <c r="G17" s="18"/>
      <c r="H17" s="17">
        <v>0</v>
      </c>
      <c r="I17" s="17"/>
      <c r="J17" s="17"/>
      <c r="K17" s="17"/>
    </row>
    <row r="18" spans="1:11" ht="15">
      <c r="A18" s="17">
        <v>44.366666666666667</v>
      </c>
      <c r="B18" s="17">
        <v>1331</v>
      </c>
      <c r="C18" s="17">
        <v>44.58064516129032</v>
      </c>
      <c r="D18" s="17">
        <v>1382</v>
      </c>
      <c r="E18" s="17">
        <v>48.06666666666667</v>
      </c>
      <c r="F18" s="17">
        <v>1442</v>
      </c>
      <c r="G18" s="18" t="s">
        <v>15</v>
      </c>
      <c r="H18" s="17">
        <v>48</v>
      </c>
      <c r="I18" s="17">
        <v>60</v>
      </c>
      <c r="J18" s="17">
        <v>46</v>
      </c>
      <c r="K18" s="17"/>
    </row>
    <row r="19" spans="1:11" ht="15">
      <c r="A19" s="17">
        <v>74.7</v>
      </c>
      <c r="B19" s="17">
        <v>2241</v>
      </c>
      <c r="C19" s="17">
        <v>80.064516129032256</v>
      </c>
      <c r="D19" s="17">
        <v>2482</v>
      </c>
      <c r="E19" s="17">
        <v>82.7</v>
      </c>
      <c r="F19" s="17">
        <v>2481</v>
      </c>
      <c r="G19" s="18" t="s">
        <v>16</v>
      </c>
      <c r="H19" s="17">
        <v>71.285714285714292</v>
      </c>
      <c r="I19" s="17">
        <v>87</v>
      </c>
      <c r="J19" s="17">
        <v>89</v>
      </c>
      <c r="K19" s="17"/>
    </row>
    <row r="20" spans="1:11" ht="15">
      <c r="A20" s="17">
        <v>129.36666666666667</v>
      </c>
      <c r="B20" s="17">
        <v>3881</v>
      </c>
      <c r="C20" s="17">
        <v>124.6774193548387</v>
      </c>
      <c r="D20" s="17">
        <v>3865</v>
      </c>
      <c r="E20" s="17">
        <v>143.13333333333333</v>
      </c>
      <c r="F20" s="17">
        <v>4294</v>
      </c>
      <c r="G20" s="18" t="s">
        <v>17</v>
      </c>
      <c r="H20" s="17">
        <v>148</v>
      </c>
      <c r="I20" s="17">
        <v>173</v>
      </c>
      <c r="J20" s="17">
        <v>119</v>
      </c>
      <c r="K20" s="17"/>
    </row>
    <row r="21" spans="1:11" ht="15">
      <c r="A21" s="17"/>
      <c r="B21" s="17"/>
      <c r="C21" s="17"/>
      <c r="D21" s="17"/>
      <c r="E21" s="17"/>
      <c r="F21" s="17"/>
      <c r="G21" s="18"/>
      <c r="H21" s="17">
        <v>0</v>
      </c>
      <c r="I21" s="17"/>
      <c r="J21" s="17"/>
      <c r="K21" s="17"/>
    </row>
    <row r="22" spans="1:11" ht="15.75">
      <c r="A22" s="15">
        <v>262.5</v>
      </c>
      <c r="B22" s="15">
        <v>7875</v>
      </c>
      <c r="C22" s="15">
        <v>261.03225806451616</v>
      </c>
      <c r="D22" s="15">
        <v>8092</v>
      </c>
      <c r="E22" s="15">
        <v>281.93333333333334</v>
      </c>
      <c r="F22" s="15">
        <v>8458</v>
      </c>
      <c r="G22" s="14" t="s">
        <v>18</v>
      </c>
      <c r="H22" s="15">
        <v>276</v>
      </c>
      <c r="I22" s="15">
        <v>296</v>
      </c>
      <c r="J22" s="15">
        <f>J23+J24+J25+J26+J27</f>
        <v>278</v>
      </c>
      <c r="K22" s="15"/>
    </row>
    <row r="23" spans="1:11" ht="15">
      <c r="A23" s="17">
        <v>193.6</v>
      </c>
      <c r="B23" s="17">
        <v>5808</v>
      </c>
      <c r="C23" s="17">
        <v>189.64516129032259</v>
      </c>
      <c r="D23" s="17">
        <v>5879</v>
      </c>
      <c r="E23" s="17">
        <v>206.7</v>
      </c>
      <c r="F23" s="17">
        <v>6201</v>
      </c>
      <c r="G23" s="19" t="s">
        <v>10</v>
      </c>
      <c r="H23" s="17">
        <v>206.14285714285714</v>
      </c>
      <c r="I23" s="17">
        <v>229</v>
      </c>
      <c r="J23" s="17">
        <v>184</v>
      </c>
      <c r="K23" s="17"/>
    </row>
    <row r="24" spans="1:11" ht="15">
      <c r="A24" s="17">
        <v>38.43333333333333</v>
      </c>
      <c r="B24" s="17">
        <v>1153</v>
      </c>
      <c r="C24" s="17">
        <v>39.903225806451616</v>
      </c>
      <c r="D24" s="17">
        <v>1237</v>
      </c>
      <c r="E24" s="17">
        <v>40.733333333333334</v>
      </c>
      <c r="F24" s="17">
        <v>1222</v>
      </c>
      <c r="G24" s="19" t="s">
        <v>11</v>
      </c>
      <c r="H24" s="17">
        <v>38.142857142857146</v>
      </c>
      <c r="I24" s="17">
        <v>34</v>
      </c>
      <c r="J24" s="17">
        <v>46</v>
      </c>
      <c r="K24" s="17"/>
    </row>
    <row r="25" spans="1:11" ht="15">
      <c r="A25" s="17">
        <v>26.8</v>
      </c>
      <c r="B25" s="17">
        <v>804</v>
      </c>
      <c r="C25" s="17">
        <v>27.161290322580644</v>
      </c>
      <c r="D25" s="17">
        <v>842</v>
      </c>
      <c r="E25" s="17">
        <v>31.633333333333333</v>
      </c>
      <c r="F25" s="17">
        <v>949</v>
      </c>
      <c r="G25" s="19" t="s">
        <v>12</v>
      </c>
      <c r="H25" s="17">
        <v>27.142857142857142</v>
      </c>
      <c r="I25" s="17">
        <v>26</v>
      </c>
      <c r="J25" s="17">
        <v>42</v>
      </c>
      <c r="K25" s="17"/>
    </row>
    <row r="26" spans="1:11" ht="15">
      <c r="A26" s="17">
        <v>0.8666666666666667</v>
      </c>
      <c r="B26" s="17">
        <v>26</v>
      </c>
      <c r="C26" s="17">
        <v>0.67741935483870963</v>
      </c>
      <c r="D26" s="17">
        <v>21</v>
      </c>
      <c r="E26" s="17">
        <v>0.3</v>
      </c>
      <c r="F26" s="17">
        <v>9</v>
      </c>
      <c r="G26" s="19" t="s">
        <v>13</v>
      </c>
      <c r="H26" s="17">
        <v>0.42857142857142855</v>
      </c>
      <c r="I26" s="17">
        <v>0</v>
      </c>
      <c r="J26" s="17">
        <v>0</v>
      </c>
      <c r="K26" s="17"/>
    </row>
    <row r="27" spans="1:11" ht="15">
      <c r="A27" s="21">
        <v>2.8</v>
      </c>
      <c r="B27" s="21">
        <v>84</v>
      </c>
      <c r="C27" s="21">
        <v>3.6451612903225805</v>
      </c>
      <c r="D27" s="21">
        <v>113</v>
      </c>
      <c r="E27" s="21">
        <v>2.5666666666666669</v>
      </c>
      <c r="F27" s="21">
        <v>77</v>
      </c>
      <c r="G27" s="20" t="s">
        <v>19</v>
      </c>
      <c r="H27" s="21">
        <v>4.1428571428571432</v>
      </c>
      <c r="I27" s="21">
        <v>7</v>
      </c>
      <c r="J27" s="21">
        <v>6</v>
      </c>
      <c r="K27" s="21"/>
    </row>
    <row r="28" spans="1:11" ht="15">
      <c r="A28" s="17"/>
      <c r="B28" s="17"/>
      <c r="C28" s="17"/>
      <c r="D28" s="17"/>
      <c r="E28" s="17"/>
      <c r="F28" s="17"/>
      <c r="G28" s="18"/>
      <c r="H28" s="17"/>
      <c r="I28" s="17"/>
      <c r="J28" s="17"/>
      <c r="K28" s="17"/>
    </row>
    <row r="29" spans="1:11" ht="15">
      <c r="A29" s="17">
        <v>22.033333333333335</v>
      </c>
      <c r="B29" s="17">
        <v>661</v>
      </c>
      <c r="C29" s="17">
        <v>21.258064516129032</v>
      </c>
      <c r="D29" s="17">
        <v>659</v>
      </c>
      <c r="E29" s="17">
        <v>23.366666666666667</v>
      </c>
      <c r="F29" s="17">
        <v>701</v>
      </c>
      <c r="G29" s="18" t="s">
        <v>20</v>
      </c>
      <c r="H29" s="17">
        <v>20.857142857142858</v>
      </c>
      <c r="I29" s="17">
        <v>20</v>
      </c>
      <c r="J29" s="17">
        <v>23</v>
      </c>
      <c r="K29" s="17"/>
    </row>
    <row r="30" spans="1:11" ht="15">
      <c r="A30" s="17"/>
      <c r="B30" s="17"/>
      <c r="C30" s="17"/>
      <c r="D30" s="17"/>
      <c r="E30" s="17"/>
      <c r="F30" s="17"/>
      <c r="G30" s="18"/>
      <c r="H30" s="17"/>
      <c r="I30" s="17"/>
      <c r="J30" s="17"/>
      <c r="K30" s="17"/>
    </row>
    <row r="31" spans="1:11" ht="16.5">
      <c r="A31" s="15"/>
      <c r="B31" s="15"/>
      <c r="C31" s="15"/>
      <c r="D31" s="15"/>
      <c r="E31" s="15"/>
      <c r="F31" s="15"/>
      <c r="G31" s="22" t="s">
        <v>21</v>
      </c>
      <c r="H31" s="15"/>
      <c r="I31" s="15"/>
      <c r="J31" s="15"/>
      <c r="K31" s="15"/>
    </row>
    <row r="32" spans="1:11" ht="15.75">
      <c r="A32" s="15">
        <v>7779345.0696666678</v>
      </c>
      <c r="B32" s="15">
        <v>233380352.09000003</v>
      </c>
      <c r="C32" s="15">
        <v>7946354.1077419352</v>
      </c>
      <c r="D32" s="15">
        <v>246336977.34</v>
      </c>
      <c r="E32" s="15">
        <v>8792161.6670000013</v>
      </c>
      <c r="F32" s="15">
        <v>263764850.01000002</v>
      </c>
      <c r="G32" s="9" t="s">
        <v>22</v>
      </c>
      <c r="H32" s="15">
        <v>8451247.4314285703</v>
      </c>
      <c r="I32" s="15">
        <v>10478583.5</v>
      </c>
      <c r="J32" s="15">
        <v>8917654.2799999993</v>
      </c>
      <c r="K32" s="15">
        <v>87908568.290000007</v>
      </c>
    </row>
    <row r="33" spans="1:12" ht="15.75">
      <c r="A33" s="15">
        <v>18815569.685999997</v>
      </c>
      <c r="B33" s="15">
        <v>564467090.57999992</v>
      </c>
      <c r="C33" s="15">
        <v>18455359.695483871</v>
      </c>
      <c r="D33" s="15">
        <v>572116150.55999994</v>
      </c>
      <c r="E33" s="15">
        <v>19461735.821666669</v>
      </c>
      <c r="F33" s="15">
        <v>583852074.6500001</v>
      </c>
      <c r="G33" s="9" t="s">
        <v>23</v>
      </c>
      <c r="H33" s="15">
        <v>18670765.124285709</v>
      </c>
      <c r="I33" s="15">
        <v>19501794.57</v>
      </c>
      <c r="J33" s="15">
        <v>15940180.199999999</v>
      </c>
      <c r="K33" s="15">
        <v>184242622.69999999</v>
      </c>
    </row>
    <row r="34" spans="1:12" ht="16.5">
      <c r="A34" s="24">
        <v>26594914.755666666</v>
      </c>
      <c r="B34" s="24">
        <v>797847442.66999996</v>
      </c>
      <c r="C34" s="24">
        <v>26401713.803225808</v>
      </c>
      <c r="D34" s="24">
        <v>818453127.89999998</v>
      </c>
      <c r="E34" s="24">
        <v>28253897.488666669</v>
      </c>
      <c r="F34" s="24">
        <v>847616924.66000009</v>
      </c>
      <c r="G34" s="23" t="s">
        <v>24</v>
      </c>
      <c r="H34" s="24">
        <v>27122012.555714283</v>
      </c>
      <c r="I34" s="24">
        <v>29980378.07</v>
      </c>
      <c r="J34" s="24">
        <f>J32+J33</f>
        <v>24857834.479999997</v>
      </c>
      <c r="K34" s="24">
        <f>K32+K33</f>
        <v>272151190.99000001</v>
      </c>
    </row>
    <row r="35" spans="1:12" ht="15">
      <c r="A35" s="17"/>
      <c r="B35" s="17"/>
      <c r="C35" s="17"/>
      <c r="D35" s="17"/>
      <c r="E35" s="17"/>
      <c r="F35" s="17"/>
      <c r="G35" s="25"/>
      <c r="H35" s="17"/>
      <c r="I35" s="17"/>
      <c r="J35" s="17"/>
      <c r="K35" s="17"/>
    </row>
    <row r="36" spans="1:12" ht="16.5">
      <c r="A36" s="17"/>
      <c r="B36" s="17"/>
      <c r="C36" s="17"/>
      <c r="D36" s="17"/>
      <c r="E36" s="17"/>
      <c r="F36" s="17"/>
      <c r="G36" s="22" t="s">
        <v>21</v>
      </c>
      <c r="H36" s="17"/>
      <c r="I36" s="17"/>
      <c r="J36" s="17"/>
      <c r="K36" s="17"/>
    </row>
    <row r="37" spans="1:12" ht="15">
      <c r="A37" s="17">
        <v>25148845.672000002</v>
      </c>
      <c r="B37" s="17">
        <v>754465370.16000009</v>
      </c>
      <c r="C37" s="17">
        <v>24937813.347096771</v>
      </c>
      <c r="D37" s="17">
        <v>773072213.75999999</v>
      </c>
      <c r="E37" s="17">
        <v>27316637.163666669</v>
      </c>
      <c r="F37" s="17">
        <v>819499114.91000009</v>
      </c>
      <c r="G37" s="16" t="s">
        <v>25</v>
      </c>
      <c r="H37" s="17">
        <v>25632002.128571425</v>
      </c>
      <c r="I37" s="17">
        <v>29739921.07</v>
      </c>
      <c r="J37" s="17">
        <v>23514126.359999999</v>
      </c>
      <c r="K37" s="17">
        <v>257327521.90000001</v>
      </c>
      <c r="L37" s="60"/>
    </row>
    <row r="38" spans="1:12" ht="15">
      <c r="A38" s="17">
        <v>1446069.0843333332</v>
      </c>
      <c r="B38" s="17">
        <v>43382072.529999994</v>
      </c>
      <c r="C38" s="17">
        <v>1463900.4564516128</v>
      </c>
      <c r="D38" s="17">
        <v>45380914.149999999</v>
      </c>
      <c r="E38" s="17">
        <v>937260.32499999995</v>
      </c>
      <c r="F38" s="17">
        <v>28117809.75</v>
      </c>
      <c r="G38" s="16" t="s">
        <v>26</v>
      </c>
      <c r="H38" s="17">
        <v>1490010.412857143</v>
      </c>
      <c r="I38" s="17">
        <v>240457</v>
      </c>
      <c r="J38" s="17">
        <v>1343708.07</v>
      </c>
      <c r="K38" s="17">
        <v>14823669.01</v>
      </c>
      <c r="L38" s="60"/>
    </row>
    <row r="39" spans="1:12" ht="16.5">
      <c r="A39" s="24">
        <v>26594914.756333336</v>
      </c>
      <c r="B39" s="24">
        <v>797847442.69000006</v>
      </c>
      <c r="C39" s="24">
        <v>26401713.803548384</v>
      </c>
      <c r="D39" s="24">
        <v>818453127.90999997</v>
      </c>
      <c r="E39" s="24">
        <v>28253897.488666669</v>
      </c>
      <c r="F39" s="24">
        <v>847616924.66000009</v>
      </c>
      <c r="G39" s="23" t="s">
        <v>24</v>
      </c>
      <c r="H39" s="24">
        <v>27122012.54142857</v>
      </c>
      <c r="I39" s="24">
        <v>29980378.07</v>
      </c>
      <c r="J39" s="24">
        <f>J37+J38</f>
        <v>24857834.43</v>
      </c>
      <c r="K39" s="24">
        <f>K37+K38</f>
        <v>272151190.91000003</v>
      </c>
    </row>
    <row r="40" spans="1:12" ht="15">
      <c r="A40" s="17"/>
      <c r="B40" s="17"/>
      <c r="C40" s="17"/>
      <c r="D40" s="17"/>
      <c r="E40" s="17"/>
      <c r="F40" s="17"/>
      <c r="G40" s="25"/>
      <c r="H40" s="17"/>
      <c r="I40" s="17"/>
      <c r="J40" s="17"/>
      <c r="K40" s="17"/>
    </row>
    <row r="41" spans="1:12" ht="16.5">
      <c r="A41" s="17"/>
      <c r="B41" s="17"/>
      <c r="C41" s="17"/>
      <c r="D41" s="17"/>
      <c r="E41" s="17"/>
      <c r="F41" s="17"/>
      <c r="G41" s="22" t="s">
        <v>21</v>
      </c>
      <c r="H41" s="17"/>
      <c r="I41" s="17"/>
      <c r="J41" s="17"/>
      <c r="K41" s="17"/>
    </row>
    <row r="42" spans="1:12" ht="16.5">
      <c r="A42" s="17"/>
      <c r="B42" s="17"/>
      <c r="C42" s="17"/>
      <c r="D42" s="17"/>
      <c r="E42" s="17"/>
      <c r="F42" s="17"/>
      <c r="G42" s="22"/>
      <c r="H42" s="17"/>
      <c r="I42" s="17"/>
      <c r="J42" s="17"/>
      <c r="K42" s="17"/>
    </row>
    <row r="43" spans="1:12" ht="18">
      <c r="A43" s="15"/>
      <c r="B43" s="15"/>
      <c r="C43" s="15"/>
      <c r="D43" s="15"/>
      <c r="E43" s="15"/>
      <c r="F43" s="15"/>
      <c r="G43" s="26" t="s">
        <v>27</v>
      </c>
      <c r="H43" s="15"/>
      <c r="I43" s="15"/>
      <c r="J43" s="15"/>
      <c r="K43" s="15"/>
    </row>
    <row r="44" spans="1:12" ht="15.75">
      <c r="A44" s="15">
        <v>15356913.085000003</v>
      </c>
      <c r="B44" s="15">
        <v>460707392.55000007</v>
      </c>
      <c r="C44" s="15">
        <v>14745637.771290321</v>
      </c>
      <c r="D44" s="15">
        <v>457114770.90999997</v>
      </c>
      <c r="E44" s="15">
        <v>16356440.978333334</v>
      </c>
      <c r="F44" s="15">
        <v>490693229.35000002</v>
      </c>
      <c r="G44" s="9" t="s">
        <v>25</v>
      </c>
      <c r="H44" s="15">
        <v>15560057.052857144</v>
      </c>
      <c r="I44" s="15">
        <v>19419620.190000001</v>
      </c>
      <c r="J44" s="15">
        <v>13535812.48</v>
      </c>
      <c r="K44" s="15">
        <v>155518367.5</v>
      </c>
      <c r="L44" s="60"/>
    </row>
    <row r="45" spans="1:12" ht="15.75">
      <c r="A45" s="15">
        <v>312972.73099999991</v>
      </c>
      <c r="B45" s="15">
        <v>9389181.9299999978</v>
      </c>
      <c r="C45" s="15">
        <v>479109.62870967743</v>
      </c>
      <c r="D45" s="15">
        <v>14852398.49</v>
      </c>
      <c r="E45" s="15">
        <v>396202.71733333333</v>
      </c>
      <c r="F45" s="15">
        <v>11886081.52</v>
      </c>
      <c r="G45" s="9" t="s">
        <v>26</v>
      </c>
      <c r="H45" s="15">
        <v>385150.88571428566</v>
      </c>
      <c r="I45" s="15">
        <v>240457</v>
      </c>
      <c r="J45" s="15">
        <v>1230335</v>
      </c>
      <c r="K45" s="15">
        <v>4939974.47</v>
      </c>
      <c r="L45" s="60"/>
    </row>
    <row r="46" spans="1:12" ht="15">
      <c r="A46" s="15"/>
      <c r="B46" s="15"/>
      <c r="C46" s="15"/>
      <c r="D46" s="15"/>
      <c r="E46" s="15"/>
      <c r="F46" s="15"/>
      <c r="G46" s="16"/>
      <c r="H46" s="15"/>
      <c r="I46" s="15"/>
      <c r="J46" s="15"/>
      <c r="K46" s="15"/>
    </row>
    <row r="47" spans="1:12" ht="18">
      <c r="A47" s="15"/>
      <c r="B47" s="15"/>
      <c r="C47" s="15"/>
      <c r="D47" s="15"/>
      <c r="E47" s="15"/>
      <c r="F47" s="15"/>
      <c r="G47" s="26" t="s">
        <v>28</v>
      </c>
      <c r="H47" s="15"/>
      <c r="I47" s="15"/>
      <c r="J47" s="15"/>
      <c r="K47" s="15"/>
    </row>
    <row r="48" spans="1:12" ht="15.75">
      <c r="A48" s="15">
        <v>9791932.5869999994</v>
      </c>
      <c r="B48" s="15">
        <v>293757977.61000001</v>
      </c>
      <c r="C48" s="15">
        <v>10192175.57580645</v>
      </c>
      <c r="D48" s="15">
        <v>315957442.84999996</v>
      </c>
      <c r="E48" s="15">
        <v>10960186.185333334</v>
      </c>
      <c r="F48" s="15">
        <v>328805585.56</v>
      </c>
      <c r="G48" s="9" t="s">
        <v>25</v>
      </c>
      <c r="H48" s="15">
        <v>10071945.075714286</v>
      </c>
      <c r="I48" s="15">
        <v>10320300.880000001</v>
      </c>
      <c r="J48" s="15">
        <f>J49+J50+J51+J52</f>
        <v>9978313.8800000008</v>
      </c>
      <c r="K48" s="15">
        <f>K49+K50+K51+K52</f>
        <v>101809154.40000001</v>
      </c>
    </row>
    <row r="49" spans="1:12" ht="15">
      <c r="A49" s="17">
        <v>2956538.4573333329</v>
      </c>
      <c r="B49" s="17">
        <v>88696153.719999984</v>
      </c>
      <c r="C49" s="17">
        <v>2837884.3412903226</v>
      </c>
      <c r="D49" s="17">
        <v>87974414.579999998</v>
      </c>
      <c r="E49" s="17">
        <v>3193959.7213333328</v>
      </c>
      <c r="F49" s="17">
        <v>95818791.639999986</v>
      </c>
      <c r="G49" s="16" t="s">
        <v>29</v>
      </c>
      <c r="H49" s="17">
        <v>3055528.5857142857</v>
      </c>
      <c r="I49" s="17">
        <v>2696235.49</v>
      </c>
      <c r="J49" s="17">
        <v>3707918.08</v>
      </c>
      <c r="K49" s="17">
        <v>31926571.559999999</v>
      </c>
      <c r="L49" s="60"/>
    </row>
    <row r="50" spans="1:12" ht="15">
      <c r="A50" s="17">
        <v>114988.73699999999</v>
      </c>
      <c r="B50" s="17">
        <v>3449662.11</v>
      </c>
      <c r="C50" s="17">
        <v>115145.89548387098</v>
      </c>
      <c r="D50" s="17">
        <v>3569522.7600000002</v>
      </c>
      <c r="E50" s="17">
        <v>64290.700333333334</v>
      </c>
      <c r="F50" s="17">
        <v>1928721.01</v>
      </c>
      <c r="G50" s="16" t="s">
        <v>30</v>
      </c>
      <c r="H50" s="17">
        <v>11565.427142857143</v>
      </c>
      <c r="I50" s="17">
        <v>0</v>
      </c>
      <c r="J50" s="17">
        <v>0</v>
      </c>
      <c r="K50" s="17"/>
    </row>
    <row r="51" spans="1:12" ht="15">
      <c r="A51" s="17">
        <v>5792975.1653333334</v>
      </c>
      <c r="B51" s="17">
        <v>173789254.96000001</v>
      </c>
      <c r="C51" s="17">
        <v>6153580.188387095</v>
      </c>
      <c r="D51" s="17">
        <v>190760985.83999994</v>
      </c>
      <c r="E51" s="17">
        <v>6843860.5746666668</v>
      </c>
      <c r="F51" s="17">
        <v>205315817.24000001</v>
      </c>
      <c r="G51" s="16" t="s">
        <v>31</v>
      </c>
      <c r="H51" s="17">
        <v>5865104.8714285716</v>
      </c>
      <c r="I51" s="17">
        <v>5426065.6100000003</v>
      </c>
      <c r="J51" s="17">
        <v>5436255.0599999996</v>
      </c>
      <c r="K51" s="17">
        <v>59193577.840000004</v>
      </c>
      <c r="L51" s="60"/>
    </row>
    <row r="52" spans="1:12" ht="15">
      <c r="A52" s="17">
        <v>927430.22733333323</v>
      </c>
      <c r="B52" s="17">
        <v>27822906.819999997</v>
      </c>
      <c r="C52" s="17">
        <v>1085565.150645161</v>
      </c>
      <c r="D52" s="17">
        <v>33652519.669999994</v>
      </c>
      <c r="E52" s="17">
        <v>858075.18900000001</v>
      </c>
      <c r="F52" s="17">
        <v>25742255.670000002</v>
      </c>
      <c r="G52" s="16" t="s">
        <v>32</v>
      </c>
      <c r="H52" s="17">
        <v>1139746.1914285715</v>
      </c>
      <c r="I52" s="17">
        <v>2197999.7799999998</v>
      </c>
      <c r="J52" s="17">
        <v>834140.74</v>
      </c>
      <c r="K52" s="17">
        <v>10689005</v>
      </c>
      <c r="L52" s="60"/>
    </row>
    <row r="53" spans="1:12" ht="15">
      <c r="A53" s="17"/>
      <c r="B53" s="17"/>
      <c r="C53" s="17"/>
      <c r="D53" s="17"/>
      <c r="E53" s="17"/>
      <c r="F53" s="17"/>
      <c r="G53" s="16"/>
      <c r="H53" s="17"/>
      <c r="I53" s="17"/>
      <c r="J53" s="17"/>
      <c r="K53" s="17"/>
    </row>
    <row r="54" spans="1:12" ht="15.75">
      <c r="A54" s="15">
        <v>1133096.3533333333</v>
      </c>
      <c r="B54" s="15">
        <v>33992890.599999994</v>
      </c>
      <c r="C54" s="15">
        <v>984790.82774193527</v>
      </c>
      <c r="D54" s="15">
        <v>30528515.659999996</v>
      </c>
      <c r="E54" s="15">
        <v>541067.60666666657</v>
      </c>
      <c r="F54" s="15">
        <v>16232028.199999997</v>
      </c>
      <c r="G54" s="9" t="s">
        <v>26</v>
      </c>
      <c r="H54" s="15">
        <v>1104859.527142857</v>
      </c>
      <c r="I54" s="15">
        <v>0</v>
      </c>
      <c r="J54" s="15">
        <f>J55+J56</f>
        <v>113373.07</v>
      </c>
      <c r="K54" s="15">
        <f>K55+K56</f>
        <v>9883694.5399999991</v>
      </c>
    </row>
    <row r="55" spans="1:12" ht="15">
      <c r="A55" s="17">
        <v>1041864.0303333332</v>
      </c>
      <c r="B55" s="17">
        <v>31255920.909999996</v>
      </c>
      <c r="C55" s="17">
        <v>707343.24677419337</v>
      </c>
      <c r="D55" s="17">
        <v>21927640.649999995</v>
      </c>
      <c r="E55" s="17">
        <v>405154.02133333322</v>
      </c>
      <c r="F55" s="17">
        <v>12154620.639999997</v>
      </c>
      <c r="G55" s="16" t="s">
        <v>33</v>
      </c>
      <c r="H55" s="17">
        <v>1104859.527142857</v>
      </c>
      <c r="I55" s="17">
        <v>0</v>
      </c>
      <c r="J55" s="17">
        <v>113373.07</v>
      </c>
      <c r="K55" s="17">
        <v>7773062.0199999996</v>
      </c>
      <c r="L55" s="60"/>
    </row>
    <row r="56" spans="1:12" ht="15">
      <c r="A56" s="17">
        <v>91232.323000000004</v>
      </c>
      <c r="B56" s="17">
        <v>2736969.69</v>
      </c>
      <c r="C56" s="17">
        <v>277447.5809677419</v>
      </c>
      <c r="D56" s="17">
        <v>8600875.0099999998</v>
      </c>
      <c r="E56" s="17">
        <v>135913.58533333332</v>
      </c>
      <c r="F56" s="17">
        <v>4077407.56</v>
      </c>
      <c r="G56" s="16" t="s">
        <v>32</v>
      </c>
      <c r="H56" s="17">
        <v>0</v>
      </c>
      <c r="I56" s="17"/>
      <c r="J56" s="17">
        <v>0</v>
      </c>
      <c r="K56" s="17">
        <v>2110632.52</v>
      </c>
    </row>
    <row r="57" spans="1:12" ht="16.5">
      <c r="A57" s="24">
        <v>26594914.756333336</v>
      </c>
      <c r="B57" s="24">
        <v>797847442.69000018</v>
      </c>
      <c r="C57" s="24">
        <v>26401713.803548384</v>
      </c>
      <c r="D57" s="24">
        <v>818453127.90999997</v>
      </c>
      <c r="E57" s="24">
        <v>28253897.48766667</v>
      </c>
      <c r="F57" s="24">
        <v>847616924.63000011</v>
      </c>
      <c r="G57" s="23" t="s">
        <v>24</v>
      </c>
      <c r="H57" s="24">
        <v>27122012.54142857</v>
      </c>
      <c r="I57" s="24">
        <v>29980378.07</v>
      </c>
      <c r="J57" s="24">
        <v>24857834</v>
      </c>
      <c r="K57" s="24">
        <v>272151190.91000003</v>
      </c>
    </row>
    <row r="58" spans="1:12" ht="15">
      <c r="A58" s="15"/>
      <c r="B58" s="15"/>
      <c r="C58" s="15"/>
      <c r="D58" s="15"/>
      <c r="E58" s="15"/>
      <c r="F58" s="15"/>
      <c r="G58" s="25"/>
      <c r="H58" s="15"/>
      <c r="I58" s="15"/>
      <c r="J58" s="15"/>
      <c r="K58" s="15"/>
    </row>
    <row r="59" spans="1:12" ht="19.5">
      <c r="A59" s="31"/>
      <c r="B59" s="31"/>
      <c r="C59" s="31"/>
      <c r="D59" s="31"/>
      <c r="E59" s="31"/>
      <c r="F59" s="31"/>
      <c r="G59" s="25"/>
      <c r="H59" s="31"/>
      <c r="I59" s="31"/>
      <c r="J59" s="31"/>
      <c r="K59" s="31"/>
    </row>
    <row r="60" spans="1:12" ht="16.5">
      <c r="A60" s="28">
        <v>8167677.291333341</v>
      </c>
      <c r="B60" s="28">
        <v>245030318.74000022</v>
      </c>
      <c r="C60" s="28">
        <v>8148915.1151612997</v>
      </c>
      <c r="D60" s="28">
        <v>252616368.57000029</v>
      </c>
      <c r="E60" s="28">
        <v>8480982.3639999963</v>
      </c>
      <c r="F60" s="28">
        <v>254429470.91999987</v>
      </c>
      <c r="G60" s="27" t="s">
        <v>34</v>
      </c>
      <c r="H60" s="28">
        <v>8290183.3471428547</v>
      </c>
      <c r="I60" s="28">
        <v>9782405.4199999738</v>
      </c>
      <c r="J60" s="28"/>
      <c r="K60" s="28"/>
    </row>
    <row r="61" spans="1:12" ht="16.5">
      <c r="A61" s="15"/>
      <c r="B61" s="15"/>
      <c r="C61" s="15"/>
      <c r="D61" s="15"/>
      <c r="E61" s="15"/>
      <c r="F61" s="15"/>
      <c r="G61" s="22"/>
      <c r="H61" s="15"/>
      <c r="I61" s="15"/>
      <c r="J61" s="15"/>
      <c r="K61" s="15"/>
    </row>
    <row r="62" spans="1:12" ht="15">
      <c r="A62" s="17"/>
      <c r="B62" s="17"/>
      <c r="C62" s="17"/>
      <c r="D62" s="17"/>
      <c r="E62" s="17"/>
      <c r="F62" s="17"/>
      <c r="G62" s="25"/>
      <c r="H62" s="17"/>
      <c r="I62" s="17"/>
      <c r="J62" s="17"/>
      <c r="K62" s="17"/>
    </row>
    <row r="63" spans="1:12" ht="16.5">
      <c r="A63" s="24">
        <v>18427237.464999996</v>
      </c>
      <c r="B63" s="24">
        <v>552817123.94999993</v>
      </c>
      <c r="C63" s="24">
        <v>18252798.688387085</v>
      </c>
      <c r="D63" s="24">
        <v>565836759.33999968</v>
      </c>
      <c r="E63" s="24">
        <v>19772915.123666678</v>
      </c>
      <c r="F63" s="24">
        <v>593187453.71000028</v>
      </c>
      <c r="G63" s="23" t="s">
        <v>35</v>
      </c>
      <c r="H63" s="24">
        <v>18831829.194285717</v>
      </c>
      <c r="I63" s="24">
        <v>20197972.650000028</v>
      </c>
      <c r="J63" s="24"/>
      <c r="K63" s="24"/>
    </row>
    <row r="64" spans="1:12" ht="15">
      <c r="A64" s="17"/>
      <c r="B64" s="17"/>
      <c r="C64" s="17"/>
      <c r="D64" s="17"/>
      <c r="E64" s="17"/>
      <c r="F64" s="17"/>
      <c r="G64" s="25"/>
      <c r="H64" s="17"/>
      <c r="I64" s="17"/>
      <c r="J64" s="17"/>
      <c r="K64" s="17"/>
    </row>
    <row r="65" spans="1:11" ht="15">
      <c r="A65" s="17"/>
      <c r="B65" s="17"/>
      <c r="C65" s="17"/>
      <c r="D65" s="17"/>
      <c r="E65" s="17"/>
      <c r="F65" s="17"/>
      <c r="G65" s="25"/>
      <c r="H65" s="17"/>
      <c r="I65" s="17"/>
      <c r="J65" s="17"/>
      <c r="K65" s="17"/>
    </row>
    <row r="66" spans="1:11" ht="16.5">
      <c r="A66" s="15"/>
      <c r="B66" s="15"/>
      <c r="C66" s="15"/>
      <c r="D66" s="15"/>
      <c r="E66" s="15"/>
      <c r="F66" s="15"/>
      <c r="G66" s="22" t="s">
        <v>36</v>
      </c>
      <c r="H66" s="15"/>
      <c r="I66" s="15"/>
      <c r="J66" s="15"/>
      <c r="K66" s="15"/>
    </row>
    <row r="67" spans="1:11" ht="15">
      <c r="A67" s="17">
        <v>5910105.9333399972</v>
      </c>
      <c r="B67" s="17">
        <v>177303178.00019991</v>
      </c>
      <c r="C67" s="17">
        <v>5866329.9354838692</v>
      </c>
      <c r="D67" s="17">
        <v>181856227.99999994</v>
      </c>
      <c r="E67" s="17">
        <v>5787811.3000699989</v>
      </c>
      <c r="F67" s="17">
        <v>173634339.00209996</v>
      </c>
      <c r="G67" s="16" t="s">
        <v>37</v>
      </c>
      <c r="H67" s="17">
        <v>4573828.5714285737</v>
      </c>
      <c r="I67" s="17">
        <v>6845762.0000000112</v>
      </c>
      <c r="J67" s="17"/>
      <c r="K67" s="17"/>
    </row>
    <row r="68" spans="1:11" ht="15">
      <c r="A68" s="17">
        <v>11196551.166666666</v>
      </c>
      <c r="B68" s="17">
        <v>335896535</v>
      </c>
      <c r="C68" s="17">
        <v>10592793.677419355</v>
      </c>
      <c r="D68" s="17">
        <v>328376604</v>
      </c>
      <c r="E68" s="17">
        <v>10760387.4</v>
      </c>
      <c r="F68" s="17">
        <v>322811622</v>
      </c>
      <c r="G68" s="16" t="s">
        <v>38</v>
      </c>
      <c r="H68" s="17">
        <v>10367748.714285715</v>
      </c>
      <c r="I68" s="17">
        <v>13382780</v>
      </c>
      <c r="J68" s="17"/>
      <c r="K68" s="17"/>
    </row>
    <row r="69" spans="1:11" ht="15">
      <c r="A69" s="17">
        <v>14119849.986333333</v>
      </c>
      <c r="B69" s="17">
        <v>423595499.58999997</v>
      </c>
      <c r="C69" s="17">
        <v>12954746.589999998</v>
      </c>
      <c r="D69" s="17">
        <v>402540199.28999996</v>
      </c>
      <c r="E69" s="17">
        <v>18774984.126666665</v>
      </c>
      <c r="F69" s="17">
        <v>563249523.79999995</v>
      </c>
      <c r="G69" s="16" t="s">
        <v>39</v>
      </c>
      <c r="H69" s="17">
        <v>9709182.959999999</v>
      </c>
      <c r="I69" s="17">
        <v>9300537.1999999993</v>
      </c>
      <c r="J69" s="17"/>
      <c r="K69" s="17"/>
    </row>
    <row r="70" spans="1:11" ht="15">
      <c r="A70" s="17">
        <v>0</v>
      </c>
      <c r="B70" s="17">
        <v>0</v>
      </c>
      <c r="C70" s="17">
        <v>577.29032258064512</v>
      </c>
      <c r="D70" s="17">
        <v>17896</v>
      </c>
      <c r="E70" s="17">
        <v>400494.33333333331</v>
      </c>
      <c r="F70" s="17">
        <v>12014830</v>
      </c>
      <c r="G70" s="16" t="s">
        <v>40</v>
      </c>
      <c r="H70" s="17">
        <v>0</v>
      </c>
      <c r="I70" s="17">
        <v>0</v>
      </c>
      <c r="J70" s="17"/>
      <c r="K70" s="17"/>
    </row>
    <row r="71" spans="1:11" ht="15">
      <c r="A71" s="17">
        <v>58626.23333333333</v>
      </c>
      <c r="B71" s="17">
        <v>1758787</v>
      </c>
      <c r="C71" s="17">
        <v>33986.806451612902</v>
      </c>
      <c r="D71" s="17">
        <v>1053591</v>
      </c>
      <c r="E71" s="17">
        <v>222898.26666666666</v>
      </c>
      <c r="F71" s="17">
        <v>6686948</v>
      </c>
      <c r="G71" s="29" t="s">
        <v>41</v>
      </c>
      <c r="H71" s="17">
        <v>229161</v>
      </c>
      <c r="I71" s="17">
        <v>336941</v>
      </c>
      <c r="J71" s="17"/>
      <c r="K71" s="17"/>
    </row>
    <row r="72" spans="1:11" ht="15">
      <c r="A72" s="17">
        <v>1888063.8</v>
      </c>
      <c r="B72" s="17">
        <v>56641914</v>
      </c>
      <c r="C72" s="17">
        <v>2239699.4954838711</v>
      </c>
      <c r="D72" s="17">
        <v>69430684.359999999</v>
      </c>
      <c r="E72" s="17">
        <v>1608721.9666666666</v>
      </c>
      <c r="F72" s="17">
        <v>48261659</v>
      </c>
      <c r="G72" s="29" t="s">
        <v>42</v>
      </c>
      <c r="H72" s="17">
        <v>1551147.7142857143</v>
      </c>
      <c r="I72" s="17">
        <v>1073713</v>
      </c>
      <c r="J72" s="17"/>
      <c r="K72" s="17"/>
    </row>
    <row r="73" spans="1:11" ht="17.25" thickBot="1">
      <c r="A73" s="24">
        <v>29279817.053006701</v>
      </c>
      <c r="B73" s="24">
        <v>878394511.59019995</v>
      </c>
      <c r="C73" s="24">
        <v>27140761.191290319</v>
      </c>
      <c r="D73" s="24">
        <v>842306651.92999995</v>
      </c>
      <c r="E73" s="24">
        <v>33892056.926736668</v>
      </c>
      <c r="F73" s="24">
        <v>1016761707.8020999</v>
      </c>
      <c r="G73" s="30" t="s">
        <v>43</v>
      </c>
      <c r="H73" s="24">
        <v>22870451.531428576</v>
      </c>
      <c r="I73" s="24">
        <v>28118425.20000001</v>
      </c>
      <c r="J73" s="24"/>
      <c r="K7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 MIS</vt:lpstr>
      <vt:lpstr>June</vt:lpstr>
      <vt:lpstr>Main July</vt:lpstr>
      <vt:lpstr>July 12</vt:lpstr>
      <vt:lpstr>July 7</vt:lpstr>
      <vt:lpstr>July 6</vt:lpstr>
      <vt:lpstr>July 5</vt:lpstr>
      <vt:lpstr>July 2</vt:lpstr>
      <vt:lpstr>July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 Ashok</dc:creator>
  <cp:lastModifiedBy>Finance Billing</cp:lastModifiedBy>
  <dcterms:created xsi:type="dcterms:W3CDTF">2026-03-28T08:17:39Z</dcterms:created>
  <dcterms:modified xsi:type="dcterms:W3CDTF">2026-07-13T09:04:20Z</dcterms:modified>
</cp:coreProperties>
</file>