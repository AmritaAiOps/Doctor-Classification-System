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shork\Desktop\"/>
    </mc:Choice>
  </mc:AlternateContent>
  <bookViews>
    <workbookView xWindow="0" yWindow="0" windowWidth="25125" windowHeight="12210"/>
  </bookViews>
  <sheets>
    <sheet name="mis working sheet" sheetId="6" r:id="rId1"/>
    <sheet name="30-09-26" sheetId="10" r:id="rId2"/>
    <sheet name="Sheet1" sheetId="1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Z78" i="6" l="1"/>
  <c r="AY78" i="6"/>
  <c r="BC67" i="6"/>
  <c r="BC61" i="6"/>
  <c r="BC52" i="6"/>
  <c r="BC58" i="6"/>
  <c r="BC43" i="6"/>
  <c r="BC38" i="6"/>
  <c r="BB58" i="6" l="1"/>
  <c r="BB61" i="6" s="1"/>
  <c r="BB67" i="6" s="1"/>
  <c r="BB52" i="6"/>
  <c r="BB43" i="6"/>
  <c r="BB38" i="6"/>
  <c r="AQ64" i="6" l="1"/>
  <c r="AQ60" i="6"/>
  <c r="AQ59" i="6"/>
  <c r="AQ58" i="6"/>
  <c r="AQ57" i="6"/>
  <c r="AQ56" i="6"/>
  <c r="AQ55" i="6"/>
  <c r="AQ54" i="6"/>
  <c r="AQ53" i="6"/>
  <c r="AQ52" i="6"/>
  <c r="AQ50" i="6"/>
  <c r="AQ49" i="6"/>
  <c r="AQ48" i="6"/>
  <c r="AQ42" i="6"/>
  <c r="AQ41" i="6"/>
  <c r="AQ38" i="6"/>
  <c r="AQ37" i="6"/>
  <c r="AQ36" i="6"/>
  <c r="AQ33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9" i="6"/>
  <c r="AQ8" i="6"/>
  <c r="AR64" i="6"/>
  <c r="AR59" i="6"/>
  <c r="AR58" i="6"/>
  <c r="AR57" i="6"/>
  <c r="AR56" i="6"/>
  <c r="AR55" i="6"/>
  <c r="AR54" i="6"/>
  <c r="AR53" i="6"/>
  <c r="AR52" i="6"/>
  <c r="AR49" i="6"/>
  <c r="AR48" i="6"/>
  <c r="AR42" i="6"/>
  <c r="AR41" i="6"/>
  <c r="AR37" i="6"/>
  <c r="AR36" i="6"/>
  <c r="AR33" i="6"/>
  <c r="AR31" i="6"/>
  <c r="AR30" i="6"/>
  <c r="AR29" i="6"/>
  <c r="AR28" i="6"/>
  <c r="AR27" i="6"/>
  <c r="AR26" i="6"/>
  <c r="AR24" i="6"/>
  <c r="AR23" i="6"/>
  <c r="AR22" i="6"/>
  <c r="AR20" i="6"/>
  <c r="AR19" i="6"/>
  <c r="AR18" i="6"/>
  <c r="AR17" i="6"/>
  <c r="AR16" i="6"/>
  <c r="AR15" i="6"/>
  <c r="AR14" i="6"/>
  <c r="AR13" i="6"/>
  <c r="AR9" i="6"/>
  <c r="AR8" i="6"/>
  <c r="BA26" i="6"/>
  <c r="BA24" i="6"/>
  <c r="BA15" i="6"/>
  <c r="AS10" i="6"/>
  <c r="AT10" i="6"/>
  <c r="AU10" i="6"/>
  <c r="AV10" i="6"/>
  <c r="AW10" i="6"/>
  <c r="AX10" i="6"/>
  <c r="AY10" i="6"/>
  <c r="AZ10" i="6"/>
  <c r="BA10" i="6"/>
  <c r="AQ10" i="6" l="1"/>
  <c r="BA67" i="6" l="1"/>
  <c r="AS61" i="6"/>
  <c r="AT61" i="6"/>
  <c r="AU61" i="6"/>
  <c r="AV61" i="6"/>
  <c r="AW61" i="6"/>
  <c r="AX61" i="6"/>
  <c r="AY61" i="6"/>
  <c r="AZ61" i="6"/>
  <c r="BA61" i="6"/>
  <c r="BA52" i="6"/>
  <c r="AS52" i="6"/>
  <c r="AT52" i="6"/>
  <c r="AU52" i="6"/>
  <c r="AV52" i="6"/>
  <c r="AW52" i="6"/>
  <c r="AX52" i="6"/>
  <c r="AY52" i="6"/>
  <c r="AZ52" i="6"/>
  <c r="BA58" i="6"/>
  <c r="AS43" i="6"/>
  <c r="AT43" i="6"/>
  <c r="AU43" i="6"/>
  <c r="AV43" i="6"/>
  <c r="AW43" i="6"/>
  <c r="AX43" i="6"/>
  <c r="AY43" i="6"/>
  <c r="AZ43" i="6"/>
  <c r="BA43" i="6"/>
  <c r="AS38" i="6"/>
  <c r="AT38" i="6"/>
  <c r="AU38" i="6"/>
  <c r="AV38" i="6"/>
  <c r="AW38" i="6"/>
  <c r="AX38" i="6"/>
  <c r="AY38" i="6"/>
  <c r="AZ38" i="6"/>
  <c r="BA38" i="6"/>
  <c r="AR21" i="6" l="1"/>
  <c r="AR25" i="6"/>
  <c r="AR61" i="6" l="1"/>
  <c r="AQ51" i="6"/>
  <c r="AQ43" i="6"/>
  <c r="AR73" i="6"/>
  <c r="AQ73" i="6" s="1"/>
  <c r="AR74" i="6"/>
  <c r="AQ74" i="6" s="1"/>
  <c r="AR75" i="6"/>
  <c r="AQ75" i="6" s="1"/>
  <c r="AR76" i="6"/>
  <c r="AQ76" i="6" s="1"/>
  <c r="AR77" i="6"/>
  <c r="AQ77" i="6" s="1"/>
  <c r="AR72" i="6"/>
  <c r="AQ72" i="6" s="1"/>
  <c r="AR50" i="6"/>
  <c r="AR51" i="6"/>
  <c r="AR60" i="6"/>
  <c r="AR43" i="6"/>
  <c r="AR38" i="6"/>
  <c r="AR10" i="6"/>
  <c r="AZ58" i="6"/>
  <c r="AZ67" i="6"/>
  <c r="AZ26" i="6"/>
  <c r="AZ15" i="6"/>
  <c r="AZ24" i="6" s="1"/>
  <c r="AY26" i="6"/>
  <c r="AY24" i="6"/>
  <c r="AY15" i="6"/>
  <c r="AQ78" i="6" l="1"/>
  <c r="AR78" i="6"/>
  <c r="AQ61" i="6"/>
  <c r="AQ67" i="6" s="1"/>
  <c r="AR67" i="6"/>
  <c r="AY58" i="6"/>
  <c r="AY67" i="6"/>
  <c r="AX78" i="6" l="1"/>
  <c r="AX67" i="6"/>
  <c r="AX58" i="6"/>
  <c r="AX26" i="6"/>
  <c r="AX15" i="6"/>
  <c r="AX24" i="6" s="1"/>
  <c r="AW78" i="6"/>
  <c r="AW67" i="6"/>
  <c r="AW58" i="6"/>
  <c r="AW26" i="6"/>
  <c r="AW15" i="6"/>
  <c r="AW24" i="6" s="1"/>
  <c r="AV78" i="6"/>
  <c r="AV67" i="6" l="1"/>
  <c r="AV58" i="6"/>
  <c r="AV26" i="6"/>
  <c r="AV24" i="6"/>
  <c r="AV15" i="6"/>
  <c r="AU58" i="6"/>
  <c r="AU67" i="6"/>
  <c r="AU26" i="6"/>
  <c r="AU15" i="6"/>
  <c r="AU24" i="6" s="1"/>
  <c r="AT67" i="6"/>
  <c r="AT26" i="6"/>
  <c r="AT15" i="6"/>
  <c r="AT24" i="6" s="1"/>
  <c r="AS67" i="6"/>
  <c r="AS58" i="6"/>
  <c r="AS26" i="6" l="1"/>
  <c r="AS15" i="6"/>
  <c r="AS24" i="6" s="1"/>
  <c r="L64" i="6" l="1"/>
  <c r="L60" i="6"/>
  <c r="L59" i="6"/>
  <c r="L58" i="6"/>
  <c r="L56" i="6"/>
  <c r="L55" i="6"/>
  <c r="L54" i="6"/>
  <c r="L53" i="6"/>
  <c r="L52" i="6"/>
  <c r="L49" i="6"/>
  <c r="L48" i="6"/>
  <c r="L42" i="6"/>
  <c r="L41" i="6"/>
  <c r="L37" i="6"/>
  <c r="L36" i="6"/>
  <c r="L33" i="6"/>
  <c r="L31" i="6"/>
  <c r="L30" i="6"/>
  <c r="L29" i="6"/>
  <c r="L28" i="6"/>
  <c r="L27" i="6"/>
  <c r="L23" i="6"/>
  <c r="L22" i="6"/>
  <c r="L20" i="6"/>
  <c r="L19" i="6"/>
  <c r="L18" i="6"/>
  <c r="L17" i="6"/>
  <c r="L16" i="6"/>
  <c r="L14" i="6"/>
  <c r="L13" i="6"/>
  <c r="L9" i="6"/>
  <c r="L8" i="6"/>
  <c r="M77" i="6"/>
  <c r="L77" i="6" s="1"/>
  <c r="M76" i="6"/>
  <c r="L76" i="6" s="1"/>
  <c r="M75" i="6"/>
  <c r="L75" i="6" s="1"/>
  <c r="M74" i="6"/>
  <c r="L74" i="6" s="1"/>
  <c r="M73" i="6"/>
  <c r="L73" i="6" s="1"/>
  <c r="M72" i="6"/>
  <c r="L72" i="6" s="1"/>
  <c r="M64" i="6"/>
  <c r="M59" i="6"/>
  <c r="M58" i="6" s="1"/>
  <c r="M56" i="6"/>
  <c r="M55" i="6"/>
  <c r="M53" i="6"/>
  <c r="M49" i="6"/>
  <c r="M48" i="6"/>
  <c r="M42" i="6"/>
  <c r="M41" i="6"/>
  <c r="M37" i="6"/>
  <c r="M36" i="6"/>
  <c r="M33" i="6"/>
  <c r="M31" i="6"/>
  <c r="M29" i="6"/>
  <c r="M28" i="6"/>
  <c r="M27" i="6"/>
  <c r="M23" i="6"/>
  <c r="M22" i="6"/>
  <c r="M20" i="6"/>
  <c r="M18" i="6"/>
  <c r="M17" i="6"/>
  <c r="M16" i="6"/>
  <c r="M14" i="6"/>
  <c r="M13" i="6"/>
  <c r="M9" i="6"/>
  <c r="M8" i="6"/>
  <c r="AO78" i="6"/>
  <c r="AO52" i="6"/>
  <c r="AO61" i="6" s="1"/>
  <c r="AO67" i="6" s="1"/>
  <c r="AO58" i="6"/>
  <c r="AO43" i="6"/>
  <c r="AO38" i="6"/>
  <c r="AO26" i="6" l="1"/>
  <c r="AO15" i="6"/>
  <c r="AO24" i="6" s="1"/>
  <c r="AO10" i="6"/>
  <c r="M52" i="6" l="1"/>
  <c r="M54" i="6"/>
  <c r="AN78" i="6"/>
  <c r="AN58" i="6"/>
  <c r="AN52" i="6"/>
  <c r="AN61" i="6" s="1"/>
  <c r="AN67" i="6" s="1"/>
  <c r="AN43" i="6"/>
  <c r="AN38" i="6"/>
  <c r="AN26" i="6"/>
  <c r="AN24" i="6"/>
  <c r="AN15" i="6"/>
  <c r="AN10" i="6"/>
  <c r="M61" i="6" l="1"/>
  <c r="AM78" i="6"/>
  <c r="M30" i="6"/>
  <c r="AM15" i="6"/>
  <c r="AM26" i="6"/>
  <c r="AM58" i="6"/>
  <c r="AM52" i="6"/>
  <c r="AM61" i="6" s="1"/>
  <c r="AM67" i="6" s="1"/>
  <c r="AM43" i="6"/>
  <c r="AM38" i="6"/>
  <c r="AM10" i="6"/>
  <c r="AM24" i="6" l="1"/>
  <c r="AL78" i="6"/>
  <c r="AL38" i="6" l="1"/>
  <c r="AL52" i="6"/>
  <c r="AL61" i="6" s="1"/>
  <c r="AL67" i="6" s="1"/>
  <c r="AL43" i="6"/>
  <c r="AL24" i="6"/>
  <c r="AK78" i="6"/>
  <c r="AL10" i="6"/>
  <c r="AK61" i="6"/>
  <c r="AK67" i="6" s="1"/>
  <c r="AK52" i="6"/>
  <c r="AK58" i="6"/>
  <c r="AK43" i="6"/>
  <c r="AK38" i="6"/>
  <c r="AK24" i="6"/>
  <c r="AK10" i="6"/>
  <c r="AJ24" i="6" l="1"/>
  <c r="AJ52" i="6"/>
  <c r="AJ61" i="6" s="1"/>
  <c r="AJ67" i="6" s="1"/>
  <c r="AJ58" i="6"/>
  <c r="AJ43" i="6"/>
  <c r="AJ78" i="6"/>
  <c r="L43" i="6" l="1"/>
  <c r="L10" i="6"/>
  <c r="AJ38" i="6"/>
  <c r="AJ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B15" i="6"/>
  <c r="B24" i="6" s="1"/>
  <c r="D15" i="6"/>
  <c r="D24" i="6" s="1"/>
  <c r="F15" i="6"/>
  <c r="F24" i="6" s="1"/>
  <c r="H15" i="6"/>
  <c r="H24" i="6" s="1"/>
  <c r="N15" i="6"/>
  <c r="N24" i="6" s="1"/>
  <c r="O15" i="6"/>
  <c r="P15" i="6"/>
  <c r="Q15" i="6"/>
  <c r="R15" i="6"/>
  <c r="S15" i="6"/>
  <c r="T15" i="6"/>
  <c r="U15" i="6"/>
  <c r="V15" i="6"/>
  <c r="A16" i="6"/>
  <c r="C16" i="6"/>
  <c r="C15" i="6" s="1"/>
  <c r="C24" i="6" s="1"/>
  <c r="E16" i="6"/>
  <c r="E15" i="6" s="1"/>
  <c r="E24" i="6" s="1"/>
  <c r="G16" i="6"/>
  <c r="A17" i="6"/>
  <c r="C17" i="6"/>
  <c r="E17" i="6"/>
  <c r="G17" i="6"/>
  <c r="A18" i="6"/>
  <c r="C18" i="6"/>
  <c r="E18" i="6"/>
  <c r="G18" i="6"/>
  <c r="A19" i="6"/>
  <c r="C19" i="6"/>
  <c r="E19" i="6"/>
  <c r="G19" i="6"/>
  <c r="A20" i="6"/>
  <c r="C20" i="6"/>
  <c r="E20" i="6"/>
  <c r="G20" i="6"/>
  <c r="L21" i="6"/>
  <c r="AI24" i="6"/>
  <c r="M24" i="6" s="1"/>
  <c r="L24" i="6" s="1"/>
  <c r="B26" i="6"/>
  <c r="D26" i="6"/>
  <c r="F26" i="6"/>
  <c r="H26" i="6"/>
  <c r="N26" i="6"/>
  <c r="O26" i="6"/>
  <c r="P26" i="6"/>
  <c r="Q26" i="6"/>
  <c r="R26" i="6"/>
  <c r="S26" i="6"/>
  <c r="T26" i="6"/>
  <c r="U26" i="6"/>
  <c r="V26" i="6"/>
  <c r="AI26" i="6"/>
  <c r="A27" i="6"/>
  <c r="C27" i="6"/>
  <c r="E27" i="6"/>
  <c r="E26" i="6" s="1"/>
  <c r="G27" i="6"/>
  <c r="G26" i="6" s="1"/>
  <c r="A28" i="6"/>
  <c r="C28" i="6"/>
  <c r="E28" i="6"/>
  <c r="G28" i="6"/>
  <c r="A29" i="6"/>
  <c r="C29" i="6"/>
  <c r="E29" i="6"/>
  <c r="G29" i="6"/>
  <c r="A30" i="6"/>
  <c r="C30" i="6"/>
  <c r="E30" i="6"/>
  <c r="G30" i="6"/>
  <c r="A31" i="6"/>
  <c r="C31" i="6"/>
  <c r="E31" i="6"/>
  <c r="G31" i="6"/>
  <c r="A33" i="6"/>
  <c r="C33" i="6"/>
  <c r="E33" i="6"/>
  <c r="M38" i="6"/>
  <c r="A38" i="6"/>
  <c r="B38" i="6"/>
  <c r="C38" i="6"/>
  <c r="D38" i="6"/>
  <c r="E38" i="6"/>
  <c r="F38" i="6"/>
  <c r="G38" i="6"/>
  <c r="H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43" i="6"/>
  <c r="B43" i="6"/>
  <c r="C43" i="6"/>
  <c r="D43" i="6"/>
  <c r="E43" i="6"/>
  <c r="F43" i="6"/>
  <c r="G43" i="6"/>
  <c r="H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N52" i="6"/>
  <c r="N41" i="6" s="1"/>
  <c r="O52" i="6"/>
  <c r="P52" i="6"/>
  <c r="P61" i="6" s="1"/>
  <c r="P67" i="6" s="1"/>
  <c r="Q52" i="6"/>
  <c r="Q61" i="6" s="1"/>
  <c r="Q67" i="6" s="1"/>
  <c r="R52" i="6"/>
  <c r="S52" i="6"/>
  <c r="T52" i="6"/>
  <c r="U52" i="6"/>
  <c r="V52" i="6"/>
  <c r="V61" i="6" s="1"/>
  <c r="V67" i="6" s="1"/>
  <c r="AI52" i="6"/>
  <c r="N58" i="6"/>
  <c r="N42" i="6" s="1"/>
  <c r="O58" i="6"/>
  <c r="P58" i="6"/>
  <c r="Q58" i="6"/>
  <c r="R58" i="6"/>
  <c r="S58" i="6"/>
  <c r="S61" i="6" s="1"/>
  <c r="S67" i="6" s="1"/>
  <c r="T58" i="6"/>
  <c r="U58" i="6"/>
  <c r="V58" i="6"/>
  <c r="W58" i="6"/>
  <c r="W61" i="6" s="1"/>
  <c r="W67" i="6" s="1"/>
  <c r="X58" i="6"/>
  <c r="X61" i="6" s="1"/>
  <c r="X67" i="6" s="1"/>
  <c r="Y58" i="6"/>
  <c r="Y61" i="6" s="1"/>
  <c r="Y67" i="6" s="1"/>
  <c r="Z58" i="6"/>
  <c r="Z61" i="6" s="1"/>
  <c r="Z67" i="6" s="1"/>
  <c r="AI58" i="6"/>
  <c r="M60" i="6"/>
  <c r="A61" i="6"/>
  <c r="B61" i="6"/>
  <c r="C61" i="6"/>
  <c r="C67" i="6" s="1"/>
  <c r="D61" i="6"/>
  <c r="D67" i="6" s="1"/>
  <c r="E61" i="6"/>
  <c r="E67" i="6" s="1"/>
  <c r="F61" i="6"/>
  <c r="F67" i="6" s="1"/>
  <c r="G61" i="6"/>
  <c r="G67" i="6" s="1"/>
  <c r="H61" i="6"/>
  <c r="H67" i="6" s="1"/>
  <c r="U61" i="6"/>
  <c r="U67" i="6" s="1"/>
  <c r="AA61" i="6"/>
  <c r="AB61" i="6"/>
  <c r="AC61" i="6"/>
  <c r="AD61" i="6"/>
  <c r="AD67" i="6" s="1"/>
  <c r="AE61" i="6"/>
  <c r="AE67" i="6" s="1"/>
  <c r="AF61" i="6"/>
  <c r="AF67" i="6" s="1"/>
  <c r="AG61" i="6"/>
  <c r="AG67" i="6" s="1"/>
  <c r="AH61" i="6"/>
  <c r="AH67" i="6" s="1"/>
  <c r="AI61" i="6"/>
  <c r="AI67" i="6" s="1"/>
  <c r="A67" i="6"/>
  <c r="B67" i="6"/>
  <c r="AA67" i="6"/>
  <c r="AB67" i="6"/>
  <c r="AC67" i="6"/>
  <c r="A72" i="6"/>
  <c r="C72" i="6"/>
  <c r="E72" i="6"/>
  <c r="G72" i="6"/>
  <c r="J72" i="6"/>
  <c r="A73" i="6"/>
  <c r="C73" i="6"/>
  <c r="E73" i="6"/>
  <c r="G73" i="6"/>
  <c r="J73" i="6"/>
  <c r="A74" i="6"/>
  <c r="C74" i="6"/>
  <c r="E74" i="6"/>
  <c r="G74" i="6"/>
  <c r="J74" i="6"/>
  <c r="A75" i="6"/>
  <c r="C75" i="6"/>
  <c r="E75" i="6"/>
  <c r="G75" i="6"/>
  <c r="J75" i="6"/>
  <c r="A76" i="6"/>
  <c r="C76" i="6"/>
  <c r="E76" i="6"/>
  <c r="G76" i="6"/>
  <c r="J76" i="6"/>
  <c r="A77" i="6"/>
  <c r="C77" i="6"/>
  <c r="E77" i="6"/>
  <c r="G77" i="6"/>
  <c r="J77" i="6"/>
  <c r="B78" i="6"/>
  <c r="D78" i="6"/>
  <c r="F78" i="6"/>
  <c r="H78" i="6"/>
  <c r="K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G78" i="6" l="1"/>
  <c r="J78" i="6"/>
  <c r="T61" i="6"/>
  <c r="T67" i="6" s="1"/>
  <c r="M15" i="6"/>
  <c r="L15" i="6" s="1"/>
  <c r="R61" i="6"/>
  <c r="R67" i="6" s="1"/>
  <c r="O61" i="6"/>
  <c r="O67" i="6" s="1"/>
  <c r="M26" i="6"/>
  <c r="L26" i="6" s="1"/>
  <c r="C26" i="6"/>
  <c r="A15" i="6"/>
  <c r="A24" i="6" s="1"/>
  <c r="A26" i="6"/>
  <c r="G15" i="6"/>
  <c r="G24" i="6" s="1"/>
  <c r="L61" i="6"/>
  <c r="L67" i="6" s="1"/>
  <c r="N43" i="6"/>
  <c r="C78" i="6"/>
  <c r="E78" i="6"/>
  <c r="A78" i="6"/>
  <c r="L38" i="6"/>
  <c r="L78" i="6"/>
  <c r="M43" i="6"/>
  <c r="M10" i="6"/>
  <c r="N61" i="6"/>
  <c r="N67" i="6" s="1"/>
  <c r="A3" i="3"/>
  <c r="M67" i="6" l="1"/>
  <c r="H79" i="1"/>
  <c r="F79" i="1"/>
  <c r="D79" i="1"/>
  <c r="B79" i="1"/>
  <c r="G78" i="1"/>
  <c r="E78" i="1"/>
  <c r="C78" i="1"/>
  <c r="A78" i="1"/>
  <c r="G77" i="1"/>
  <c r="E77" i="1"/>
  <c r="C77" i="1"/>
  <c r="A77" i="1"/>
  <c r="G76" i="1"/>
  <c r="E76" i="1"/>
  <c r="C76" i="1"/>
  <c r="A76" i="1"/>
  <c r="G75" i="1"/>
  <c r="E75" i="1"/>
  <c r="C75" i="1"/>
  <c r="A75" i="1"/>
  <c r="G74" i="1"/>
  <c r="E74" i="1"/>
  <c r="C74" i="1"/>
  <c r="A74" i="1"/>
  <c r="G73" i="1"/>
  <c r="G79" i="1" s="1"/>
  <c r="E73" i="1"/>
  <c r="E79" i="1" s="1"/>
  <c r="C73" i="1"/>
  <c r="C79" i="1" s="1"/>
  <c r="A73" i="1"/>
  <c r="A79" i="1" s="1"/>
  <c r="H67" i="1"/>
  <c r="G67" i="1"/>
  <c r="F67" i="1"/>
  <c r="E67" i="1"/>
  <c r="H61" i="1"/>
  <c r="G61" i="1"/>
  <c r="F61" i="1"/>
  <c r="E61" i="1"/>
  <c r="D61" i="1"/>
  <c r="D67" i="1" s="1"/>
  <c r="C61" i="1"/>
  <c r="C67" i="1" s="1"/>
  <c r="B61" i="1"/>
  <c r="B67" i="1" s="1"/>
  <c r="A61" i="1"/>
  <c r="A67" i="1" s="1"/>
  <c r="H43" i="1"/>
  <c r="G43" i="1"/>
  <c r="F43" i="1"/>
  <c r="E43" i="1"/>
  <c r="D43" i="1"/>
  <c r="C43" i="1"/>
  <c r="B43" i="1"/>
  <c r="A43" i="1"/>
  <c r="H38" i="1"/>
  <c r="G38" i="1"/>
  <c r="F38" i="1"/>
  <c r="E38" i="1"/>
  <c r="D38" i="1"/>
  <c r="C38" i="1"/>
  <c r="B38" i="1"/>
  <c r="A38" i="1"/>
  <c r="E33" i="1"/>
  <c r="C33" i="1"/>
  <c r="A33" i="1"/>
  <c r="G31" i="1"/>
  <c r="E31" i="1"/>
  <c r="C31" i="1"/>
  <c r="A31" i="1"/>
  <c r="G30" i="1"/>
  <c r="E30" i="1"/>
  <c r="C30" i="1"/>
  <c r="A30" i="1"/>
  <c r="G29" i="1"/>
  <c r="E29" i="1"/>
  <c r="C29" i="1"/>
  <c r="A29" i="1"/>
  <c r="G28" i="1"/>
  <c r="E28" i="1"/>
  <c r="E26" i="1" s="1"/>
  <c r="C28" i="1"/>
  <c r="C26" i="1" s="1"/>
  <c r="A28" i="1"/>
  <c r="G27" i="1"/>
  <c r="G26" i="1" s="1"/>
  <c r="E27" i="1"/>
  <c r="C27" i="1"/>
  <c r="A27" i="1"/>
  <c r="H26" i="1"/>
  <c r="F26" i="1"/>
  <c r="D26" i="1"/>
  <c r="B26" i="1"/>
  <c r="A26" i="1"/>
  <c r="H24" i="1"/>
  <c r="G20" i="1"/>
  <c r="E20" i="1"/>
  <c r="C20" i="1"/>
  <c r="A20" i="1"/>
  <c r="G19" i="1"/>
  <c r="E19" i="1"/>
  <c r="C19" i="1"/>
  <c r="A19" i="1"/>
  <c r="G18" i="1"/>
  <c r="E18" i="1"/>
  <c r="C18" i="1"/>
  <c r="A18" i="1"/>
  <c r="G17" i="1"/>
  <c r="E17" i="1"/>
  <c r="E15" i="1" s="1"/>
  <c r="E24" i="1" s="1"/>
  <c r="C17" i="1"/>
  <c r="C15" i="1" s="1"/>
  <c r="C24" i="1" s="1"/>
  <c r="A17" i="1"/>
  <c r="G16" i="1"/>
  <c r="G15" i="1" s="1"/>
  <c r="G24" i="1" s="1"/>
  <c r="E16" i="1"/>
  <c r="C16" i="1"/>
  <c r="A16" i="1"/>
  <c r="H15" i="1"/>
  <c r="F15" i="1"/>
  <c r="F24" i="1" s="1"/>
  <c r="D15" i="1"/>
  <c r="D24" i="1" s="1"/>
  <c r="B15" i="1"/>
  <c r="B24" i="1" s="1"/>
  <c r="A15" i="1"/>
  <c r="A24" i="1" s="1"/>
</calcChain>
</file>

<file path=xl/sharedStrings.xml><?xml version="1.0" encoding="utf-8"?>
<sst xmlns="http://schemas.openxmlformats.org/spreadsheetml/2006/main" count="266" uniqueCount="128">
  <si>
    <t>Amrita Hospital - Kochi</t>
  </si>
  <si>
    <t>Daily Progress Report Aug 2026</t>
  </si>
  <si>
    <t>Daily Average April</t>
  </si>
  <si>
    <t xml:space="preserve">MTD April   </t>
  </si>
  <si>
    <t>Daily Average May</t>
  </si>
  <si>
    <t>MTD May</t>
  </si>
  <si>
    <t>Daily Average June</t>
  </si>
  <si>
    <t xml:space="preserve">MTD (Jun) </t>
  </si>
  <si>
    <t>Daily Average July</t>
  </si>
  <si>
    <t xml:space="preserve">MTD (Jul) </t>
  </si>
  <si>
    <t>Particulars</t>
  </si>
  <si>
    <t>Daily Average Aug</t>
  </si>
  <si>
    <t xml:space="preserve">MTD (Aug)      </t>
  </si>
  <si>
    <t>As on 24th Aug 2026</t>
  </si>
  <si>
    <t>Occupancy</t>
  </si>
  <si>
    <t>Bed Strength</t>
  </si>
  <si>
    <t>Beds Occupied</t>
  </si>
  <si>
    <t>Occupancy %</t>
  </si>
  <si>
    <t>Volumes</t>
  </si>
  <si>
    <t>OP New Registration</t>
  </si>
  <si>
    <t>OP Encounters</t>
  </si>
  <si>
    <t>IP Admission</t>
  </si>
  <si>
    <t xml:space="preserve">               General</t>
  </si>
  <si>
    <t xml:space="preserve">               TPA</t>
  </si>
  <si>
    <t xml:space="preserve">               ECHS/ESI /INHS/ISRO/CIAL</t>
  </si>
  <si>
    <t xml:space="preserve">               P.Card.Fund</t>
  </si>
  <si>
    <t xml:space="preserve">              Corporates</t>
  </si>
  <si>
    <t>Emergency Admission</t>
  </si>
  <si>
    <t>Planned
Admission</t>
  </si>
  <si>
    <t>Admission from OP 
(walk-in)</t>
  </si>
  <si>
    <t>IP Discharges</t>
  </si>
  <si>
    <t xml:space="preserve">               Corporates </t>
  </si>
  <si>
    <t>Long Stay Patients</t>
  </si>
  <si>
    <t>Billing (INR)</t>
  </si>
  <si>
    <t>OP</t>
  </si>
  <si>
    <t>IP</t>
  </si>
  <si>
    <t>Total Billing</t>
  </si>
  <si>
    <t>Domestic</t>
  </si>
  <si>
    <t>International</t>
  </si>
  <si>
    <t>Cash (IP &amp; OP)</t>
  </si>
  <si>
    <t>Credit (IP &amp; OP)</t>
  </si>
  <si>
    <t>ECHS/ESI /INHS/ISRO/CIAL</t>
  </si>
  <si>
    <t>P.Card.Fund</t>
  </si>
  <si>
    <t>TPA</t>
  </si>
  <si>
    <t>Corporates</t>
  </si>
  <si>
    <t>TPA Aasantha</t>
  </si>
  <si>
    <t>AEPL Billing ( Collection thru' AIMS )</t>
  </si>
  <si>
    <t>Hospital Revenue (Net of AEPL)</t>
  </si>
  <si>
    <t xml:space="preserve">Collection (INR) </t>
  </si>
  <si>
    <t>Cash (including IP advances)</t>
  </si>
  <si>
    <t>Credit Card</t>
  </si>
  <si>
    <t>Bank</t>
  </si>
  <si>
    <t>Other Income( Bank Interest )</t>
  </si>
  <si>
    <t>Less: Patients Refunds through Cash</t>
  </si>
  <si>
    <t>Less: Patients Refunds through Bank</t>
  </si>
  <si>
    <t>Total Collection</t>
  </si>
  <si>
    <t>Daily Average Sep</t>
  </si>
  <si>
    <t xml:space="preserve">MTD (Sep)      </t>
  </si>
  <si>
    <t>As on 3rd Sep 2026</t>
  </si>
  <si>
    <t>As on 04th Sep</t>
  </si>
  <si>
    <t>As on 05th Sep</t>
  </si>
  <si>
    <t>As on 06th Sep</t>
  </si>
  <si>
    <t>As on 07th Sep</t>
  </si>
  <si>
    <t>As on 08th Sep</t>
  </si>
  <si>
    <t>As on 09th Sep</t>
  </si>
  <si>
    <t>As on 10th Sep</t>
  </si>
  <si>
    <t>As on 11th Sep</t>
  </si>
  <si>
    <t>As on 12th Sep</t>
  </si>
  <si>
    <t>As on 13th Sep</t>
  </si>
  <si>
    <t>As on 14th Sep</t>
  </si>
  <si>
    <t>As on 15th Sep</t>
  </si>
  <si>
    <t>As on 16th Sep</t>
  </si>
  <si>
    <t>As on 17th Sep</t>
  </si>
  <si>
    <t>As on 18th Sep</t>
  </si>
  <si>
    <t>As on 19th Sep</t>
  </si>
  <si>
    <t>As on 20th Sep</t>
  </si>
  <si>
    <t>As on 21st Sep</t>
  </si>
  <si>
    <t>As on 22nd Sep</t>
  </si>
  <si>
    <t>As on 23rd Sep</t>
  </si>
  <si>
    <t>As on 24th Sep</t>
  </si>
  <si>
    <t>As on 25th Sep</t>
  </si>
  <si>
    <t>Category</t>
  </si>
  <si>
    <t>Beds Available for Admission</t>
  </si>
  <si>
    <t>Percentage of Utilisation(%)</t>
  </si>
  <si>
    <t>3 Bed Ward</t>
  </si>
  <si>
    <t>General Ward</t>
  </si>
  <si>
    <t>HDU -2</t>
  </si>
  <si>
    <t>High Dependency</t>
  </si>
  <si>
    <t>ICU</t>
  </si>
  <si>
    <t>Isolation Room</t>
  </si>
  <si>
    <t>Isolation Ward</t>
  </si>
  <si>
    <t>Mini Private Room A/C</t>
  </si>
  <si>
    <t>Private Room</t>
  </si>
  <si>
    <t>Private Room A/C</t>
  </si>
  <si>
    <t>Semi Deluxe Room</t>
  </si>
  <si>
    <t>Semi private Room</t>
  </si>
  <si>
    <t>StepDown NICU</t>
  </si>
  <si>
    <t>Super Deluxe Room</t>
  </si>
  <si>
    <t>Ward Bed</t>
  </si>
  <si>
    <t>Total</t>
  </si>
  <si>
    <t>As on 26th Sep</t>
  </si>
  <si>
    <t>As on 27th Sep</t>
  </si>
  <si>
    <t>As on 28th Sep</t>
  </si>
  <si>
    <t>As on 29th Sep</t>
  </si>
  <si>
    <t>Day Case A</t>
  </si>
  <si>
    <t>Daycase Bed</t>
  </si>
  <si>
    <t>EM Unit</t>
  </si>
  <si>
    <t>Labour</t>
  </si>
  <si>
    <t>NURSERY</t>
  </si>
  <si>
    <t>Operation Theatre</t>
  </si>
  <si>
    <t>As on 30th Sep</t>
  </si>
  <si>
    <t> BED TYPE WISE BED OCCUPANCY REPORT</t>
  </si>
  <si>
    <t>Housekeeping/ Repair</t>
  </si>
  <si>
    <t>Blocked</t>
  </si>
  <si>
    <t>1st Oct</t>
  </si>
  <si>
    <t>2nd Oct</t>
  </si>
  <si>
    <t>3rd Oct</t>
  </si>
  <si>
    <t>4th Oct</t>
  </si>
  <si>
    <t>5th Oct</t>
  </si>
  <si>
    <t>6th Oct</t>
  </si>
  <si>
    <t>7th Oct</t>
  </si>
  <si>
    <t>8th Oct</t>
  </si>
  <si>
    <t>9th Oct</t>
  </si>
  <si>
    <t>MTD  on 9th Oct</t>
  </si>
  <si>
    <t>Daily Average As on 9thOct</t>
  </si>
  <si>
    <t>Daily Progress Report 9th Oct 2026</t>
  </si>
  <si>
    <t>10th Oct</t>
  </si>
  <si>
    <t>11th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</si>
</sst>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_ * #,##0.0_ ;_ * \-#,##0.0_ ;_ * &quot;-&quot;??_ ;_ @_ 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Arial Narrow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u val="singleAccounting"/>
      <sz val="11"/>
      <color theme="1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sz val="11"/>
      <name val="Arial"/>
      <family val="2"/>
    </font>
    <font>
      <b/>
      <sz val="11"/>
      <color rgb="FF000000"/>
      <name val="Inherit"/>
    </font>
  </fonts>
  <fills count="10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115">
    <xf numFmtId="0" fontId="0" fillId="0" borderId="0" xfId="0"/>
    <xf numFmtId="0" fontId="3" fillId="2" borderId="0" xfId="3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1" xfId="3" applyFont="1" applyFill="1" applyBorder="1" applyAlignment="1">
      <alignment horizontal="center" vertical="center" wrapText="1"/>
    </xf>
    <xf numFmtId="0" fontId="6" fillId="3" borderId="2" xfId="3" applyFont="1" applyFill="1" applyBorder="1" applyAlignment="1">
      <alignment horizontal="center" vertical="center"/>
    </xf>
    <xf numFmtId="0" fontId="5" fillId="4" borderId="3" xfId="3" applyFont="1" applyFill="1" applyBorder="1" applyAlignment="1">
      <alignment horizontal="right" vertical="center" wrapText="1"/>
    </xf>
    <xf numFmtId="0" fontId="6" fillId="4" borderId="4" xfId="3" applyFont="1" applyFill="1" applyBorder="1" applyAlignment="1">
      <alignment horizontal="center" vertical="center"/>
    </xf>
    <xf numFmtId="0" fontId="5" fillId="4" borderId="5" xfId="3" applyFont="1" applyFill="1" applyBorder="1" applyAlignment="1">
      <alignment horizontal="right" vertical="center" wrapText="1"/>
    </xf>
    <xf numFmtId="0" fontId="7" fillId="4" borderId="6" xfId="3" applyFont="1" applyFill="1" applyBorder="1" applyAlignment="1">
      <alignment horizontal="left" vertical="center"/>
    </xf>
    <xf numFmtId="0" fontId="6" fillId="4" borderId="6" xfId="3" applyFont="1" applyFill="1" applyBorder="1" applyAlignment="1">
      <alignment horizontal="left" indent="3"/>
    </xf>
    <xf numFmtId="164" fontId="5" fillId="4" borderId="5" xfId="3" applyNumberFormat="1" applyFont="1" applyFill="1" applyBorder="1" applyAlignment="1">
      <alignment horizontal="right" vertical="center" wrapText="1"/>
    </xf>
    <xf numFmtId="1" fontId="5" fillId="4" borderId="5" xfId="3" applyNumberFormat="1" applyFont="1" applyFill="1" applyBorder="1" applyAlignment="1">
      <alignment horizontal="right" vertical="center" wrapText="1"/>
    </xf>
    <xf numFmtId="9" fontId="5" fillId="5" borderId="7" xfId="2" applyFont="1" applyFill="1" applyBorder="1" applyAlignment="1">
      <alignment horizontal="right" vertical="center" wrapText="1"/>
    </xf>
    <xf numFmtId="9" fontId="5" fillId="5" borderId="7" xfId="2" applyFont="1" applyFill="1" applyBorder="1" applyAlignment="1">
      <alignment horizontal="center" vertical="center" wrapText="1"/>
    </xf>
    <xf numFmtId="0" fontId="8" fillId="4" borderId="8" xfId="3" applyFont="1" applyFill="1" applyBorder="1" applyAlignment="1">
      <alignment horizontal="left" indent="3"/>
    </xf>
    <xf numFmtId="0" fontId="7" fillId="4" borderId="9" xfId="3" applyFont="1" applyFill="1" applyBorder="1" applyAlignment="1">
      <alignment horizontal="left"/>
    </xf>
    <xf numFmtId="164" fontId="5" fillId="4" borderId="5" xfId="1" applyNumberFormat="1" applyFont="1" applyFill="1" applyBorder="1" applyAlignment="1">
      <alignment horizontal="center" vertical="center"/>
    </xf>
    <xf numFmtId="0" fontId="6" fillId="4" borderId="9" xfId="3" applyFont="1" applyFill="1" applyBorder="1" applyAlignment="1">
      <alignment horizontal="left" indent="3"/>
    </xf>
    <xf numFmtId="164" fontId="9" fillId="4" borderId="5" xfId="1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>
      <alignment horizontal="left" indent="3"/>
    </xf>
    <xf numFmtId="0" fontId="8" fillId="4" borderId="0" xfId="3" applyFont="1" applyFill="1" applyAlignment="1">
      <alignment horizontal="left" indent="3"/>
    </xf>
    <xf numFmtId="0" fontId="8" fillId="4" borderId="0" xfId="3" applyFont="1" applyFill="1" applyAlignment="1">
      <alignment horizontal="left" wrapText="1" indent="3"/>
    </xf>
    <xf numFmtId="0" fontId="8" fillId="4" borderId="9" xfId="3" applyFont="1" applyFill="1" applyBorder="1" applyAlignment="1">
      <alignment horizontal="left" indent="3"/>
    </xf>
    <xf numFmtId="164" fontId="9" fillId="4" borderId="10" xfId="1" applyNumberFormat="1" applyFont="1" applyFill="1" applyBorder="1" applyAlignment="1">
      <alignment horizontal="center" vertical="center"/>
    </xf>
    <xf numFmtId="0" fontId="8" fillId="4" borderId="11" xfId="3" applyFont="1" applyFill="1" applyBorder="1" applyAlignment="1">
      <alignment horizontal="left" indent="3"/>
    </xf>
    <xf numFmtId="0" fontId="7" fillId="4" borderId="6" xfId="3" applyFont="1" applyFill="1" applyBorder="1" applyAlignment="1">
      <alignment horizontal="left"/>
    </xf>
    <xf numFmtId="164" fontId="5" fillId="6" borderId="7" xfId="1" applyNumberFormat="1" applyFont="1" applyFill="1" applyBorder="1" applyAlignment="1">
      <alignment horizontal="center" vertical="center"/>
    </xf>
    <xf numFmtId="0" fontId="7" fillId="6" borderId="12" xfId="3" applyFont="1" applyFill="1" applyBorder="1" applyAlignment="1">
      <alignment horizontal="left"/>
    </xf>
    <xf numFmtId="0" fontId="8" fillId="4" borderId="6" xfId="3" applyFont="1" applyFill="1" applyBorder="1" applyAlignment="1">
      <alignment horizontal="left"/>
    </xf>
    <xf numFmtId="0" fontId="10" fillId="4" borderId="6" xfId="3" applyFont="1" applyFill="1" applyBorder="1" applyAlignment="1">
      <alignment horizontal="left" indent="3"/>
    </xf>
    <xf numFmtId="164" fontId="11" fillId="4" borderId="5" xfId="1" applyNumberFormat="1" applyFont="1" applyFill="1" applyBorder="1" applyAlignment="1">
      <alignment horizontal="center" vertical="center"/>
    </xf>
    <xf numFmtId="164" fontId="5" fillId="4" borderId="7" xfId="1" applyNumberFormat="1" applyFont="1" applyFill="1" applyBorder="1" applyAlignment="1">
      <alignment horizontal="center" vertical="center"/>
    </xf>
    <xf numFmtId="0" fontId="7" fillId="4" borderId="12" xfId="3" applyFont="1" applyFill="1" applyBorder="1" applyAlignment="1">
      <alignment horizontal="left"/>
    </xf>
    <xf numFmtId="164" fontId="9" fillId="4" borderId="13" xfId="1" applyNumberFormat="1" applyFont="1" applyFill="1" applyBorder="1" applyAlignment="1">
      <alignment horizontal="center" vertical="center"/>
    </xf>
    <xf numFmtId="0" fontId="8" fillId="4" borderId="14" xfId="3" applyFont="1" applyFill="1" applyBorder="1" applyAlignment="1">
      <alignment horizontal="left"/>
    </xf>
    <xf numFmtId="0" fontId="12" fillId="4" borderId="6" xfId="3" applyFont="1" applyFill="1" applyBorder="1" applyAlignment="1">
      <alignment horizontal="left"/>
    </xf>
    <xf numFmtId="0" fontId="13" fillId="4" borderId="6" xfId="3" applyFont="1" applyFill="1" applyBorder="1" applyAlignment="1">
      <alignment horizontal="left"/>
    </xf>
    <xf numFmtId="164" fontId="14" fillId="4" borderId="5" xfId="1" applyNumberFormat="1" applyFont="1" applyFill="1" applyBorder="1" applyAlignment="1">
      <alignment horizontal="center" vertical="center"/>
    </xf>
    <xf numFmtId="0" fontId="12" fillId="4" borderId="6" xfId="3" applyFont="1" applyFill="1" applyBorder="1" applyAlignment="1">
      <alignment horizontal="left" indent="3"/>
    </xf>
    <xf numFmtId="0" fontId="12" fillId="4" borderId="6" xfId="3" applyFont="1" applyFill="1" applyBorder="1"/>
    <xf numFmtId="2" fontId="13" fillId="6" borderId="15" xfId="3" applyNumberFormat="1" applyFont="1" applyFill="1" applyBorder="1" applyAlignment="1">
      <alignment horizontal="left" vertical="center"/>
    </xf>
    <xf numFmtId="164" fontId="5" fillId="6" borderId="16" xfId="1" applyNumberFormat="1" applyFont="1" applyFill="1" applyBorder="1" applyAlignment="1">
      <alignment horizontal="center" vertical="center"/>
    </xf>
    <xf numFmtId="43" fontId="5" fillId="4" borderId="5" xfId="1" applyNumberFormat="1" applyFont="1" applyFill="1" applyBorder="1" applyAlignment="1">
      <alignment horizontal="center" vertical="center"/>
    </xf>
    <xf numFmtId="43" fontId="9" fillId="4" borderId="5" xfId="1" applyNumberFormat="1" applyFont="1" applyFill="1" applyBorder="1" applyAlignment="1">
      <alignment horizontal="center" vertical="center"/>
    </xf>
    <xf numFmtId="164" fontId="9" fillId="4" borderId="6" xfId="1" applyNumberFormat="1" applyFont="1" applyFill="1" applyBorder="1" applyAlignment="1">
      <alignment horizontal="center" vertical="center"/>
    </xf>
    <xf numFmtId="164" fontId="9" fillId="4" borderId="17" xfId="1" applyNumberFormat="1" applyFont="1" applyFill="1" applyBorder="1" applyAlignment="1">
      <alignment horizontal="center" vertical="center"/>
    </xf>
    <xf numFmtId="164" fontId="5" fillId="4" borderId="17" xfId="1" applyNumberFormat="1" applyFont="1" applyFill="1" applyBorder="1" applyAlignment="1">
      <alignment horizontal="center" vertical="center"/>
    </xf>
    <xf numFmtId="164" fontId="5" fillId="6" borderId="18" xfId="1" applyNumberFormat="1" applyFont="1" applyFill="1" applyBorder="1" applyAlignment="1">
      <alignment horizontal="center" vertical="center"/>
    </xf>
    <xf numFmtId="164" fontId="5" fillId="4" borderId="18" xfId="1" applyNumberFormat="1" applyFont="1" applyFill="1" applyBorder="1" applyAlignment="1">
      <alignment horizontal="center" vertical="center"/>
    </xf>
    <xf numFmtId="164" fontId="5" fillId="6" borderId="19" xfId="1" applyNumberFormat="1" applyFont="1" applyFill="1" applyBorder="1" applyAlignment="1">
      <alignment horizontal="center" vertical="center"/>
    </xf>
    <xf numFmtId="164" fontId="5" fillId="6" borderId="21" xfId="1" applyNumberFormat="1" applyFont="1" applyFill="1" applyBorder="1" applyAlignment="1">
      <alignment horizontal="center" vertical="center"/>
    </xf>
    <xf numFmtId="0" fontId="5" fillId="3" borderId="20" xfId="3" applyFont="1" applyFill="1" applyBorder="1" applyAlignment="1">
      <alignment horizontal="center" vertical="center" wrapText="1"/>
    </xf>
    <xf numFmtId="0" fontId="5" fillId="4" borderId="22" xfId="3" applyFont="1" applyFill="1" applyBorder="1" applyAlignment="1">
      <alignment horizontal="right" vertical="center" wrapText="1"/>
    </xf>
    <xf numFmtId="0" fontId="5" fillId="4" borderId="17" xfId="3" applyFont="1" applyFill="1" applyBorder="1" applyAlignment="1">
      <alignment horizontal="right" vertical="center" wrapText="1"/>
    </xf>
    <xf numFmtId="1" fontId="5" fillId="4" borderId="17" xfId="3" applyNumberFormat="1" applyFont="1" applyFill="1" applyBorder="1" applyAlignment="1">
      <alignment horizontal="right" vertical="center" wrapText="1"/>
    </xf>
    <xf numFmtId="164" fontId="5" fillId="4" borderId="17" xfId="3" applyNumberFormat="1" applyFont="1" applyFill="1" applyBorder="1" applyAlignment="1">
      <alignment horizontal="right" vertical="center" wrapText="1"/>
    </xf>
    <xf numFmtId="164" fontId="9" fillId="4" borderId="23" xfId="1" applyNumberFormat="1" applyFont="1" applyFill="1" applyBorder="1" applyAlignment="1">
      <alignment horizontal="center" vertical="center"/>
    </xf>
    <xf numFmtId="0" fontId="5" fillId="3" borderId="2" xfId="3" applyFont="1" applyFill="1" applyBorder="1" applyAlignment="1">
      <alignment horizontal="center" vertical="center" wrapText="1"/>
    </xf>
    <xf numFmtId="0" fontId="5" fillId="4" borderId="6" xfId="3" applyFont="1" applyFill="1" applyBorder="1" applyAlignment="1">
      <alignment horizontal="right" vertical="center" wrapText="1"/>
    </xf>
    <xf numFmtId="164" fontId="5" fillId="4" borderId="6" xfId="1" applyNumberFormat="1" applyFont="1" applyFill="1" applyBorder="1" applyAlignment="1">
      <alignment horizontal="center" vertical="center"/>
    </xf>
    <xf numFmtId="0" fontId="9" fillId="4" borderId="6" xfId="3" applyFont="1" applyFill="1" applyBorder="1" applyAlignment="1">
      <alignment horizontal="right" vertical="center" wrapText="1"/>
    </xf>
    <xf numFmtId="164" fontId="9" fillId="4" borderId="24" xfId="1" applyNumberFormat="1" applyFont="1" applyFill="1" applyBorder="1" applyAlignment="1">
      <alignment horizontal="center" vertical="center"/>
    </xf>
    <xf numFmtId="1" fontId="5" fillId="4" borderId="6" xfId="3" applyNumberFormat="1" applyFont="1" applyFill="1" applyBorder="1" applyAlignment="1">
      <alignment horizontal="right" vertical="center" wrapText="1"/>
    </xf>
    <xf numFmtId="164" fontId="5" fillId="6" borderId="12" xfId="1" applyNumberFormat="1" applyFont="1" applyFill="1" applyBorder="1" applyAlignment="1">
      <alignment horizontal="center" vertical="center"/>
    </xf>
    <xf numFmtId="164" fontId="5" fillId="4" borderId="12" xfId="1" applyNumberFormat="1" applyFont="1" applyFill="1" applyBorder="1" applyAlignment="1">
      <alignment horizontal="center" vertical="center"/>
    </xf>
    <xf numFmtId="164" fontId="5" fillId="6" borderId="25" xfId="1" applyNumberFormat="1" applyFont="1" applyFill="1" applyBorder="1" applyAlignment="1">
      <alignment horizontal="center" vertical="center"/>
    </xf>
    <xf numFmtId="43" fontId="0" fillId="0" borderId="0" xfId="0" applyNumberFormat="1"/>
    <xf numFmtId="164" fontId="0" fillId="0" borderId="0" xfId="0" applyNumberFormat="1"/>
    <xf numFmtId="43" fontId="5" fillId="4" borderId="7" xfId="1" applyNumberFormat="1" applyFont="1" applyFill="1" applyBorder="1" applyAlignment="1">
      <alignment horizontal="center" vertical="center"/>
    </xf>
    <xf numFmtId="43" fontId="5" fillId="6" borderId="16" xfId="1" applyNumberFormat="1" applyFont="1" applyFill="1" applyBorder="1" applyAlignment="1">
      <alignment horizontal="center" vertical="center"/>
    </xf>
    <xf numFmtId="0" fontId="9" fillId="4" borderId="5" xfId="3" applyFont="1" applyFill="1" applyBorder="1" applyAlignment="1">
      <alignment horizontal="right" vertical="center" wrapText="1"/>
    </xf>
    <xf numFmtId="0" fontId="5" fillId="4" borderId="10" xfId="3" applyFont="1" applyFill="1" applyBorder="1" applyAlignment="1">
      <alignment horizontal="right" vertical="center" wrapText="1"/>
    </xf>
    <xf numFmtId="0" fontId="5" fillId="4" borderId="7" xfId="3" applyFont="1" applyFill="1" applyBorder="1" applyAlignment="1">
      <alignment horizontal="right" vertical="center" wrapText="1"/>
    </xf>
    <xf numFmtId="43" fontId="9" fillId="4" borderId="10" xfId="1" applyNumberFormat="1" applyFont="1" applyFill="1" applyBorder="1" applyAlignment="1">
      <alignment horizontal="center" vertical="center"/>
    </xf>
    <xf numFmtId="0" fontId="9" fillId="4" borderId="10" xfId="3" applyFont="1" applyFill="1" applyBorder="1" applyAlignment="1">
      <alignment horizontal="right" vertical="center" wrapText="1"/>
    </xf>
    <xf numFmtId="0" fontId="7" fillId="6" borderId="26" xfId="3" applyFont="1" applyFill="1" applyBorder="1" applyAlignment="1">
      <alignment horizontal="left"/>
    </xf>
    <xf numFmtId="164" fontId="5" fillId="6" borderId="26" xfId="1" applyNumberFormat="1" applyFont="1" applyFill="1" applyBorder="1" applyAlignment="1">
      <alignment horizontal="center" vertical="center"/>
    </xf>
    <xf numFmtId="164" fontId="5" fillId="6" borderId="13" xfId="1" applyNumberFormat="1" applyFont="1" applyFill="1" applyBorder="1" applyAlignment="1">
      <alignment horizontal="center" vertical="center"/>
    </xf>
    <xf numFmtId="0" fontId="5" fillId="4" borderId="23" xfId="3" applyFont="1" applyFill="1" applyBorder="1" applyAlignment="1">
      <alignment horizontal="right" vertical="center" wrapText="1"/>
    </xf>
    <xf numFmtId="0" fontId="5" fillId="4" borderId="18" xfId="3" applyFont="1" applyFill="1" applyBorder="1" applyAlignment="1">
      <alignment horizontal="right" vertical="center" wrapText="1"/>
    </xf>
    <xf numFmtId="0" fontId="9" fillId="4" borderId="24" xfId="3" applyFont="1" applyFill="1" applyBorder="1" applyAlignment="1">
      <alignment horizontal="right" vertical="center" wrapText="1"/>
    </xf>
    <xf numFmtId="0" fontId="5" fillId="4" borderId="24" xfId="3" applyFont="1" applyFill="1" applyBorder="1" applyAlignment="1">
      <alignment horizontal="right" vertical="center" wrapText="1"/>
    </xf>
    <xf numFmtId="0" fontId="5" fillId="4" borderId="12" xfId="3" applyFont="1" applyFill="1" applyBorder="1" applyAlignment="1">
      <alignment horizontal="right" vertical="center" wrapText="1"/>
    </xf>
    <xf numFmtId="164" fontId="9" fillId="4" borderId="14" xfId="1" applyNumberFormat="1" applyFont="1" applyFill="1" applyBorder="1" applyAlignment="1">
      <alignment horizontal="center" vertical="center"/>
    </xf>
    <xf numFmtId="164" fontId="5" fillId="6" borderId="14" xfId="1" applyNumberFormat="1" applyFont="1" applyFill="1" applyBorder="1" applyAlignment="1">
      <alignment horizontal="center" vertical="center"/>
    </xf>
    <xf numFmtId="0" fontId="9" fillId="4" borderId="17" xfId="3" applyFont="1" applyFill="1" applyBorder="1" applyAlignment="1">
      <alignment horizontal="right" vertical="center" wrapText="1"/>
    </xf>
    <xf numFmtId="164" fontId="5" fillId="6" borderId="3" xfId="1" applyNumberFormat="1" applyFont="1" applyFill="1" applyBorder="1" applyAlignment="1">
      <alignment horizontal="center" vertical="center"/>
    </xf>
    <xf numFmtId="0" fontId="9" fillId="4" borderId="13" xfId="3" applyFont="1" applyFill="1" applyBorder="1" applyAlignment="1">
      <alignment horizontal="right" vertical="center" wrapText="1"/>
    </xf>
    <xf numFmtId="0" fontId="9" fillId="4" borderId="14" xfId="3" applyFont="1" applyFill="1" applyBorder="1" applyAlignment="1">
      <alignment horizontal="right" vertical="center" wrapText="1"/>
    </xf>
    <xf numFmtId="0" fontId="5" fillId="3" borderId="27" xfId="3" applyFont="1" applyFill="1" applyBorder="1" applyAlignment="1">
      <alignment horizontal="center" vertical="center" wrapText="1"/>
    </xf>
    <xf numFmtId="0" fontId="5" fillId="4" borderId="0" xfId="3" applyFont="1" applyFill="1" applyBorder="1" applyAlignment="1">
      <alignment horizontal="right" vertical="center" wrapText="1"/>
    </xf>
    <xf numFmtId="164" fontId="9" fillId="4" borderId="0" xfId="1" applyNumberFormat="1" applyFont="1" applyFill="1" applyBorder="1" applyAlignment="1">
      <alignment horizontal="center" vertical="center"/>
    </xf>
    <xf numFmtId="0" fontId="9" fillId="4" borderId="0" xfId="3" applyFont="1" applyFill="1" applyBorder="1" applyAlignment="1">
      <alignment horizontal="right" vertical="center" wrapText="1"/>
    </xf>
    <xf numFmtId="164" fontId="5" fillId="6" borderId="28" xfId="1" applyNumberFormat="1" applyFont="1" applyFill="1" applyBorder="1" applyAlignment="1">
      <alignment horizontal="center" vertical="center"/>
    </xf>
    <xf numFmtId="164" fontId="5" fillId="4" borderId="0" xfId="1" applyNumberFormat="1" applyFont="1" applyFill="1" applyBorder="1" applyAlignment="1">
      <alignment horizontal="center" vertical="center"/>
    </xf>
    <xf numFmtId="164" fontId="5" fillId="6" borderId="29" xfId="1" applyNumberFormat="1" applyFont="1" applyFill="1" applyBorder="1" applyAlignment="1">
      <alignment horizontal="center" vertical="center"/>
    </xf>
    <xf numFmtId="0" fontId="5" fillId="4" borderId="28" xfId="3" applyFont="1" applyFill="1" applyBorder="1" applyAlignment="1">
      <alignment horizontal="right" vertical="center" wrapText="1"/>
    </xf>
    <xf numFmtId="164" fontId="5" fillId="6" borderId="4" xfId="1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9" fontId="5" fillId="6" borderId="7" xfId="2" applyFont="1" applyFill="1" applyBorder="1" applyAlignment="1">
      <alignment horizontal="center" vertical="center" wrapText="1"/>
    </xf>
    <xf numFmtId="9" fontId="5" fillId="6" borderId="7" xfId="2" applyFont="1" applyFill="1" applyBorder="1" applyAlignment="1">
      <alignment horizontal="right" vertical="center" wrapText="1"/>
    </xf>
    <xf numFmtId="9" fontId="5" fillId="6" borderId="18" xfId="2" applyFont="1" applyFill="1" applyBorder="1" applyAlignment="1">
      <alignment horizontal="right" vertical="center" wrapText="1"/>
    </xf>
    <xf numFmtId="9" fontId="5" fillId="6" borderId="12" xfId="2" applyFont="1" applyFill="1" applyBorder="1" applyAlignment="1">
      <alignment horizontal="right" vertical="center" wrapText="1"/>
    </xf>
    <xf numFmtId="9" fontId="5" fillId="6" borderId="28" xfId="2" applyFont="1" applyFill="1" applyBorder="1" applyAlignment="1">
      <alignment horizontal="right" vertical="center" wrapText="1"/>
    </xf>
    <xf numFmtId="0" fontId="15" fillId="8" borderId="32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7" borderId="31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8" borderId="33" xfId="0" applyFont="1" applyFill="1" applyBorder="1" applyAlignment="1">
      <alignment horizontal="left" vertical="center"/>
    </xf>
    <xf numFmtId="0" fontId="15" fillId="9" borderId="30" xfId="0" applyFont="1" applyFill="1" applyBorder="1" applyAlignment="1">
      <alignment horizontal="center" vertical="center" wrapText="1"/>
    </xf>
    <xf numFmtId="165" fontId="5" fillId="4" borderId="5" xfId="3" applyNumberFormat="1" applyFont="1" applyFill="1" applyBorder="1" applyAlignment="1">
      <alignment horizontal="right" vertical="center" wrapText="1"/>
    </xf>
    <xf numFmtId="166" fontId="5" fillId="4" borderId="5" xfId="3" applyNumberFormat="1" applyFont="1" applyFill="1" applyBorder="1" applyAlignment="1">
      <alignment horizontal="right" vertical="center" wrapText="1"/>
    </xf>
    <xf numFmtId="165" fontId="9" fillId="4" borderId="5" xfId="3" applyNumberFormat="1" applyFont="1" applyFill="1" applyBorder="1" applyAlignment="1">
      <alignment horizontal="right" vertical="center" wrapText="1"/>
    </xf>
    <xf numFmtId="166" fontId="9" fillId="4" borderId="5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_Formats MC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D83"/>
  <sheetViews>
    <sheetView tabSelected="1" topLeftCell="M4" workbookViewId="0">
      <pane ySplit="2" topLeftCell="A48" activePane="bottomLeft" state="frozen"/>
      <selection activeCell="B4" sqref="B4"/>
      <selection pane="bottomLeft" activeCell="BB4" sqref="BB1:BC1048576"/>
    </sheetView>
  </sheetViews>
  <sheetFormatPr defaultRowHeight="14.25"/>
  <cols>
    <col min="1" max="1" width="17.625" customWidth="1"/>
    <col min="2" max="2" width="17" customWidth="1"/>
    <col min="3" max="3" width="16.125" customWidth="1"/>
    <col min="4" max="4" width="17.375" customWidth="1"/>
    <col min="5" max="5" width="16.125" customWidth="1"/>
    <col min="6" max="6" width="16.25" customWidth="1"/>
    <col min="7" max="7" width="13.125" customWidth="1"/>
    <col min="8" max="8" width="16.25" customWidth="1"/>
    <col min="9" max="9" width="29" customWidth="1"/>
    <col min="10" max="12" width="14.25" bestFit="1" customWidth="1"/>
    <col min="13" max="13" width="15" bestFit="1" customWidth="1"/>
    <col min="14" max="14" width="13.125" hidden="1" customWidth="1"/>
    <col min="15" max="15" width="9.875" hidden="1" customWidth="1"/>
    <col min="16" max="16" width="11.375" hidden="1" customWidth="1"/>
    <col min="17" max="17" width="9.875" hidden="1" customWidth="1"/>
    <col min="18" max="21" width="11.375" hidden="1" customWidth="1"/>
    <col min="22" max="22" width="14" hidden="1" customWidth="1"/>
    <col min="23" max="24" width="11.375" hidden="1" customWidth="1"/>
    <col min="25" max="25" width="12.375" hidden="1" customWidth="1"/>
    <col min="26" max="26" width="11.375" hidden="1" customWidth="1"/>
    <col min="27" max="29" width="11.875" hidden="1" customWidth="1"/>
    <col min="30" max="30" width="11.375" hidden="1" customWidth="1"/>
    <col min="31" max="31" width="9.875" hidden="1" customWidth="1"/>
    <col min="32" max="32" width="12.375" hidden="1" customWidth="1"/>
    <col min="33" max="33" width="11.125" hidden="1" customWidth="1"/>
    <col min="34" max="37" width="11.375" hidden="1" customWidth="1"/>
    <col min="38" max="38" width="15" hidden="1" customWidth="1"/>
    <col min="39" max="41" width="11.375" hidden="1" customWidth="1"/>
    <col min="42" max="42" width="38.75" bestFit="1" customWidth="1"/>
    <col min="43" max="43" width="14" bestFit="1" customWidth="1"/>
    <col min="44" max="44" width="12.375" bestFit="1" customWidth="1"/>
    <col min="45" max="47" width="11.375" customWidth="1"/>
    <col min="48" max="52" width="15" customWidth="1"/>
    <col min="53" max="53" width="12.375" customWidth="1"/>
    <col min="54" max="55" width="12.375" hidden="1" customWidth="1"/>
    <col min="56" max="56" width="0.125" customWidth="1"/>
  </cols>
  <sheetData>
    <row r="3" spans="1:55" ht="20.25">
      <c r="A3" s="1" t="s">
        <v>0</v>
      </c>
      <c r="B3" s="1"/>
      <c r="C3" s="1"/>
    </row>
    <row r="4" spans="1:55" ht="21" thickBot="1">
      <c r="A4" s="2" t="s">
        <v>125</v>
      </c>
    </row>
    <row r="5" spans="1:55" ht="30.75" thickBo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4" t="s">
        <v>10</v>
      </c>
      <c r="J5" s="3" t="s">
        <v>11</v>
      </c>
      <c r="K5" s="3" t="s">
        <v>12</v>
      </c>
      <c r="L5" s="3" t="s">
        <v>56</v>
      </c>
      <c r="M5" s="3" t="s">
        <v>57</v>
      </c>
      <c r="N5" s="51" t="s">
        <v>58</v>
      </c>
      <c r="O5" s="3" t="s">
        <v>59</v>
      </c>
      <c r="P5" s="3" t="s">
        <v>60</v>
      </c>
      <c r="Q5" s="3" t="s">
        <v>61</v>
      </c>
      <c r="R5" s="57" t="s">
        <v>62</v>
      </c>
      <c r="S5" s="3" t="s">
        <v>63</v>
      </c>
      <c r="T5" s="3" t="s">
        <v>64</v>
      </c>
      <c r="U5" s="3" t="s">
        <v>65</v>
      </c>
      <c r="V5" s="57" t="s">
        <v>66</v>
      </c>
      <c r="W5" s="57" t="s">
        <v>67</v>
      </c>
      <c r="X5" s="3" t="s">
        <v>68</v>
      </c>
      <c r="Y5" s="3" t="s">
        <v>69</v>
      </c>
      <c r="Z5" s="51" t="s">
        <v>70</v>
      </c>
      <c r="AA5" s="51" t="s">
        <v>71</v>
      </c>
      <c r="AB5" s="89" t="s">
        <v>72</v>
      </c>
      <c r="AC5" s="3" t="s">
        <v>73</v>
      </c>
      <c r="AD5" s="3" t="s">
        <v>74</v>
      </c>
      <c r="AE5" s="3" t="s">
        <v>75</v>
      </c>
      <c r="AF5" s="3" t="s">
        <v>76</v>
      </c>
      <c r="AG5" s="3" t="s">
        <v>77</v>
      </c>
      <c r="AH5" s="3" t="s">
        <v>78</v>
      </c>
      <c r="AI5" s="3" t="s">
        <v>79</v>
      </c>
      <c r="AJ5" s="3" t="s">
        <v>80</v>
      </c>
      <c r="AK5" s="3" t="s">
        <v>100</v>
      </c>
      <c r="AL5" s="3" t="s">
        <v>101</v>
      </c>
      <c r="AM5" s="3" t="s">
        <v>102</v>
      </c>
      <c r="AN5" s="3" t="s">
        <v>103</v>
      </c>
      <c r="AO5" s="3" t="s">
        <v>110</v>
      </c>
      <c r="AP5" s="3" t="s">
        <v>10</v>
      </c>
      <c r="AQ5" s="3" t="s">
        <v>124</v>
      </c>
      <c r="AR5" s="3" t="s">
        <v>123</v>
      </c>
      <c r="AS5" s="3" t="s">
        <v>114</v>
      </c>
      <c r="AT5" s="3" t="s">
        <v>115</v>
      </c>
      <c r="AU5" s="3" t="s">
        <v>116</v>
      </c>
      <c r="AV5" s="3" t="s">
        <v>117</v>
      </c>
      <c r="AW5" s="3" t="s">
        <v>118</v>
      </c>
      <c r="AX5" s="3" t="s">
        <v>119</v>
      </c>
      <c r="AY5" s="3" t="s">
        <v>120</v>
      </c>
      <c r="AZ5" s="3" t="s">
        <v>121</v>
      </c>
      <c r="BA5" s="3" t="s">
        <v>122</v>
      </c>
      <c r="BB5" s="3" t="s">
        <v>126</v>
      </c>
      <c r="BC5" s="3" t="s">
        <v>127</v>
      </c>
    </row>
    <row r="6" spans="1:55" ht="15.75">
      <c r="A6" s="5"/>
      <c r="B6" s="5"/>
      <c r="C6" s="5"/>
      <c r="D6" s="5"/>
      <c r="E6" s="5"/>
      <c r="F6" s="5"/>
      <c r="G6" s="5"/>
      <c r="H6" s="5"/>
      <c r="I6" s="6"/>
      <c r="J6" s="5"/>
      <c r="K6" s="5"/>
      <c r="L6" s="5"/>
      <c r="M6" s="5"/>
      <c r="N6" s="52"/>
      <c r="O6" s="7"/>
      <c r="P6" s="7"/>
      <c r="Q6" s="7"/>
      <c r="R6" s="58"/>
      <c r="S6" s="7"/>
      <c r="T6" s="7"/>
      <c r="U6" s="7"/>
      <c r="V6" s="58"/>
      <c r="W6" s="58"/>
      <c r="X6" s="7"/>
      <c r="Y6" s="7"/>
      <c r="Z6" s="53"/>
      <c r="AA6" s="53"/>
      <c r="AB6" s="90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</row>
    <row r="7" spans="1:55" ht="16.5">
      <c r="A7" s="7"/>
      <c r="B7" s="7"/>
      <c r="C7" s="7"/>
      <c r="D7" s="7"/>
      <c r="E7" s="7"/>
      <c r="F7" s="7"/>
      <c r="G7" s="7"/>
      <c r="H7" s="7"/>
      <c r="I7" s="8" t="s">
        <v>14</v>
      </c>
      <c r="J7" s="7"/>
      <c r="K7" s="7"/>
      <c r="L7" s="7"/>
      <c r="M7" s="7"/>
      <c r="N7" s="53"/>
      <c r="O7" s="7"/>
      <c r="P7" s="7"/>
      <c r="Q7" s="7"/>
      <c r="R7" s="58"/>
      <c r="S7" s="7"/>
      <c r="T7" s="7"/>
      <c r="U7" s="7"/>
      <c r="V7" s="58"/>
      <c r="W7" s="58"/>
      <c r="X7" s="7"/>
      <c r="Y7" s="7"/>
      <c r="Z7" s="53"/>
      <c r="AA7" s="53"/>
      <c r="AB7" s="90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8" t="s">
        <v>14</v>
      </c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 ht="15.75">
      <c r="A8" s="7">
        <v>1000</v>
      </c>
      <c r="B8" s="7">
        <v>1000</v>
      </c>
      <c r="C8" s="7">
        <v>1000</v>
      </c>
      <c r="D8" s="7">
        <v>1000</v>
      </c>
      <c r="E8" s="7">
        <v>1000</v>
      </c>
      <c r="F8" s="7">
        <v>30000</v>
      </c>
      <c r="G8" s="7">
        <v>1000</v>
      </c>
      <c r="H8" s="7">
        <v>31000</v>
      </c>
      <c r="I8" s="9" t="s">
        <v>15</v>
      </c>
      <c r="J8" s="7">
        <v>1000</v>
      </c>
      <c r="K8" s="7">
        <v>31000</v>
      </c>
      <c r="L8" s="7">
        <f>M8/30</f>
        <v>1000</v>
      </c>
      <c r="M8" s="7">
        <f>3000+O8+P8+Q8+R8+S8+T8+U8+V8+W8+X8+Y8+Z8+AA8+AB8+AC8+AD8+AE8+AF8+AG8+AH8+AI8+AJ8+AK8+AL8+AM8+AN8+AO8</f>
        <v>30000</v>
      </c>
      <c r="N8" s="53">
        <v>1000</v>
      </c>
      <c r="O8" s="7">
        <v>1000</v>
      </c>
      <c r="P8" s="7">
        <v>1000</v>
      </c>
      <c r="Q8" s="7">
        <v>1000</v>
      </c>
      <c r="R8" s="58">
        <v>1000</v>
      </c>
      <c r="S8" s="7">
        <v>1000</v>
      </c>
      <c r="T8" s="7">
        <v>1000</v>
      </c>
      <c r="U8" s="7">
        <v>1000</v>
      </c>
      <c r="V8" s="58">
        <v>1000</v>
      </c>
      <c r="W8" s="58">
        <v>1000</v>
      </c>
      <c r="X8" s="7">
        <v>1000</v>
      </c>
      <c r="Y8" s="7">
        <v>1000</v>
      </c>
      <c r="Z8" s="53">
        <v>1000</v>
      </c>
      <c r="AA8" s="53">
        <v>1000</v>
      </c>
      <c r="AB8" s="90">
        <v>1000</v>
      </c>
      <c r="AC8" s="7">
        <v>1000</v>
      </c>
      <c r="AD8" s="7">
        <v>1000</v>
      </c>
      <c r="AE8" s="7">
        <v>1000</v>
      </c>
      <c r="AF8" s="7">
        <v>1000</v>
      </c>
      <c r="AG8" s="7">
        <v>1000</v>
      </c>
      <c r="AH8" s="7">
        <v>1000</v>
      </c>
      <c r="AI8" s="7">
        <v>1000</v>
      </c>
      <c r="AJ8" s="7">
        <v>1000</v>
      </c>
      <c r="AK8" s="7">
        <v>1000</v>
      </c>
      <c r="AL8" s="7">
        <v>1000</v>
      </c>
      <c r="AM8" s="7">
        <v>1000</v>
      </c>
      <c r="AN8" s="7">
        <v>1000</v>
      </c>
      <c r="AO8" s="7">
        <v>1000</v>
      </c>
      <c r="AP8" s="9" t="s">
        <v>15</v>
      </c>
      <c r="AQ8" s="7">
        <f>AR8/9</f>
        <v>1000</v>
      </c>
      <c r="AR8" s="7">
        <f>AS8+AT8+AU8+AV8+AW8+AX8+AY8+AZ8+BA8</f>
        <v>9000</v>
      </c>
      <c r="AS8" s="7">
        <v>1000</v>
      </c>
      <c r="AT8" s="7">
        <v>1000</v>
      </c>
      <c r="AU8" s="7">
        <v>1000</v>
      </c>
      <c r="AV8" s="7">
        <v>1000</v>
      </c>
      <c r="AW8" s="7">
        <v>1000</v>
      </c>
      <c r="AX8" s="7">
        <v>1000</v>
      </c>
      <c r="AY8" s="7">
        <v>1000</v>
      </c>
      <c r="AZ8" s="7">
        <v>1000</v>
      </c>
      <c r="BA8" s="7">
        <v>1000</v>
      </c>
      <c r="BB8" s="7"/>
      <c r="BC8" s="7"/>
    </row>
    <row r="9" spans="1:55" ht="15.75">
      <c r="A9" s="10">
        <v>930.33333333333337</v>
      </c>
      <c r="B9" s="10">
        <v>930.33333333333337</v>
      </c>
      <c r="C9" s="11">
        <v>967</v>
      </c>
      <c r="D9" s="11">
        <v>967</v>
      </c>
      <c r="E9" s="11">
        <v>983.5</v>
      </c>
      <c r="F9" s="7">
        <v>29505</v>
      </c>
      <c r="G9" s="11">
        <v>984.45161290322585</v>
      </c>
      <c r="H9" s="7">
        <v>30518</v>
      </c>
      <c r="I9" s="9" t="s">
        <v>16</v>
      </c>
      <c r="J9" s="11">
        <v>921.06451612903231</v>
      </c>
      <c r="K9" s="11">
        <v>28553</v>
      </c>
      <c r="L9" s="11">
        <f>M9/30</f>
        <v>1008.4333333333333</v>
      </c>
      <c r="M9" s="11">
        <f>3018+O9+P9+Q9+R9+S9+T9+U9+V9+W9+X9+Y9+Z9+AA9+AB9+AC9+AD9+AE9+AF9+AG9+AH9+AI9+AJ9+AK9+AL9+AM9+AN9+AO9</f>
        <v>30253</v>
      </c>
      <c r="N9" s="54">
        <v>965</v>
      </c>
      <c r="O9" s="11">
        <v>983</v>
      </c>
      <c r="P9" s="7">
        <v>924</v>
      </c>
      <c r="Q9" s="7">
        <v>975</v>
      </c>
      <c r="R9" s="58">
        <v>1039</v>
      </c>
      <c r="S9" s="7">
        <v>1034</v>
      </c>
      <c r="T9" s="7">
        <v>1013</v>
      </c>
      <c r="U9" s="7">
        <v>1026</v>
      </c>
      <c r="V9" s="58">
        <v>1044</v>
      </c>
      <c r="W9" s="58">
        <v>932</v>
      </c>
      <c r="X9" s="7">
        <v>981</v>
      </c>
      <c r="Y9" s="7">
        <v>1007</v>
      </c>
      <c r="Z9" s="53">
        <v>1053</v>
      </c>
      <c r="AA9" s="53">
        <v>1077</v>
      </c>
      <c r="AB9" s="90">
        <v>1070</v>
      </c>
      <c r="AC9" s="7">
        <v>1053</v>
      </c>
      <c r="AD9" s="7">
        <v>933</v>
      </c>
      <c r="AE9" s="7">
        <v>996</v>
      </c>
      <c r="AF9" s="7">
        <v>1025</v>
      </c>
      <c r="AG9" s="7">
        <v>1042</v>
      </c>
      <c r="AH9" s="7">
        <v>1050</v>
      </c>
      <c r="AI9" s="7">
        <v>1029</v>
      </c>
      <c r="AJ9" s="7">
        <v>1011</v>
      </c>
      <c r="AK9" s="7">
        <v>899</v>
      </c>
      <c r="AL9" s="7">
        <v>971</v>
      </c>
      <c r="AM9" s="7">
        <v>1007</v>
      </c>
      <c r="AN9" s="7">
        <v>1023</v>
      </c>
      <c r="AO9" s="7">
        <v>1038</v>
      </c>
      <c r="AP9" s="9" t="s">
        <v>16</v>
      </c>
      <c r="AQ9" s="111">
        <f>AR9/9</f>
        <v>991.88888888888891</v>
      </c>
      <c r="AR9" s="7">
        <f>AS9+AT9+AU9+AV9+AW9+AX9+AY9+AZ9+BA9</f>
        <v>8927</v>
      </c>
      <c r="AS9" s="7">
        <v>938</v>
      </c>
      <c r="AT9" s="7">
        <v>974</v>
      </c>
      <c r="AU9" s="7">
        <v>886</v>
      </c>
      <c r="AV9" s="7">
        <v>949</v>
      </c>
      <c r="AW9" s="7">
        <v>1002</v>
      </c>
      <c r="AX9" s="7">
        <v>1047</v>
      </c>
      <c r="AY9" s="7">
        <v>1059</v>
      </c>
      <c r="AZ9" s="7">
        <v>1038</v>
      </c>
      <c r="BA9" s="7">
        <v>1034</v>
      </c>
      <c r="BB9" s="7"/>
      <c r="BC9" s="7"/>
    </row>
    <row r="10" spans="1:55" ht="15">
      <c r="A10" s="12">
        <v>0.93033333333333335</v>
      </c>
      <c r="B10" s="12">
        <v>0.93033333333333335</v>
      </c>
      <c r="C10" s="12">
        <v>0.96699999999999997</v>
      </c>
      <c r="D10" s="12">
        <v>0.96699999999999997</v>
      </c>
      <c r="E10" s="12">
        <v>0.98350000000000004</v>
      </c>
      <c r="F10" s="12">
        <v>0.98350000000000004</v>
      </c>
      <c r="G10" s="12">
        <v>0.9844516129032258</v>
      </c>
      <c r="H10" s="12">
        <v>0.9844516129032258</v>
      </c>
      <c r="I10" s="99" t="s">
        <v>17</v>
      </c>
      <c r="J10" s="100">
        <v>0.92106451612903228</v>
      </c>
      <c r="K10" s="100">
        <v>0.92106451612903228</v>
      </c>
      <c r="L10" s="100">
        <f>L9/L8</f>
        <v>1.0084333333333333</v>
      </c>
      <c r="M10" s="100">
        <f>M9/M8</f>
        <v>1.0084333333333333</v>
      </c>
      <c r="N10" s="101">
        <f t="shared" ref="N10:AO10" si="0">+N9/N8</f>
        <v>0.96499999999999997</v>
      </c>
      <c r="O10" s="100">
        <f t="shared" si="0"/>
        <v>0.98299999999999998</v>
      </c>
      <c r="P10" s="100">
        <f t="shared" si="0"/>
        <v>0.92400000000000004</v>
      </c>
      <c r="Q10" s="100">
        <f t="shared" si="0"/>
        <v>0.97499999999999998</v>
      </c>
      <c r="R10" s="102">
        <f t="shared" si="0"/>
        <v>1.0389999999999999</v>
      </c>
      <c r="S10" s="100">
        <f t="shared" si="0"/>
        <v>1.034</v>
      </c>
      <c r="T10" s="100">
        <f t="shared" si="0"/>
        <v>1.0129999999999999</v>
      </c>
      <c r="U10" s="100">
        <f t="shared" si="0"/>
        <v>1.026</v>
      </c>
      <c r="V10" s="102">
        <f t="shared" si="0"/>
        <v>1.044</v>
      </c>
      <c r="W10" s="102">
        <f t="shared" si="0"/>
        <v>0.93200000000000005</v>
      </c>
      <c r="X10" s="100">
        <f t="shared" si="0"/>
        <v>0.98099999999999998</v>
      </c>
      <c r="Y10" s="100">
        <f t="shared" si="0"/>
        <v>1.0069999999999999</v>
      </c>
      <c r="Z10" s="101">
        <f t="shared" si="0"/>
        <v>1.0529999999999999</v>
      </c>
      <c r="AA10" s="101">
        <f t="shared" si="0"/>
        <v>1.077</v>
      </c>
      <c r="AB10" s="103">
        <f t="shared" si="0"/>
        <v>1.07</v>
      </c>
      <c r="AC10" s="100">
        <f t="shared" si="0"/>
        <v>1.0529999999999999</v>
      </c>
      <c r="AD10" s="100">
        <f t="shared" si="0"/>
        <v>0.93300000000000005</v>
      </c>
      <c r="AE10" s="100">
        <f t="shared" si="0"/>
        <v>0.996</v>
      </c>
      <c r="AF10" s="100">
        <f t="shared" si="0"/>
        <v>1.0249999999999999</v>
      </c>
      <c r="AG10" s="100">
        <f t="shared" si="0"/>
        <v>1.042</v>
      </c>
      <c r="AH10" s="100">
        <f t="shared" si="0"/>
        <v>1.05</v>
      </c>
      <c r="AI10" s="100">
        <f t="shared" si="0"/>
        <v>1.0289999999999999</v>
      </c>
      <c r="AJ10" s="100">
        <f t="shared" si="0"/>
        <v>1.0109999999999999</v>
      </c>
      <c r="AK10" s="100">
        <f t="shared" si="0"/>
        <v>0.89900000000000002</v>
      </c>
      <c r="AL10" s="100">
        <f t="shared" si="0"/>
        <v>0.97099999999999997</v>
      </c>
      <c r="AM10" s="100">
        <f t="shared" si="0"/>
        <v>1.0069999999999999</v>
      </c>
      <c r="AN10" s="100">
        <f t="shared" si="0"/>
        <v>1.0229999999999999</v>
      </c>
      <c r="AO10" s="100">
        <f t="shared" si="0"/>
        <v>1.038</v>
      </c>
      <c r="AP10" s="99" t="s">
        <v>17</v>
      </c>
      <c r="AQ10" s="100">
        <f>AQ9/AQ8</f>
        <v>0.99188888888888893</v>
      </c>
      <c r="AR10" s="100">
        <f>AR9/AR8</f>
        <v>0.99188888888888893</v>
      </c>
      <c r="AS10" s="100">
        <f t="shared" ref="AS10:BA10" si="1">AS9/AS8</f>
        <v>0.93799999999999994</v>
      </c>
      <c r="AT10" s="100">
        <f t="shared" si="1"/>
        <v>0.97399999999999998</v>
      </c>
      <c r="AU10" s="100">
        <f t="shared" si="1"/>
        <v>0.88600000000000001</v>
      </c>
      <c r="AV10" s="100">
        <f t="shared" si="1"/>
        <v>0.94899999999999995</v>
      </c>
      <c r="AW10" s="100">
        <f t="shared" si="1"/>
        <v>1.002</v>
      </c>
      <c r="AX10" s="100">
        <f t="shared" si="1"/>
        <v>1.0469999999999999</v>
      </c>
      <c r="AY10" s="100">
        <f t="shared" si="1"/>
        <v>1.0589999999999999</v>
      </c>
      <c r="AZ10" s="100">
        <f t="shared" si="1"/>
        <v>1.038</v>
      </c>
      <c r="BA10" s="100">
        <f t="shared" si="1"/>
        <v>1.034</v>
      </c>
      <c r="BB10" s="100"/>
      <c r="BC10" s="100"/>
    </row>
    <row r="11" spans="1:55" ht="15">
      <c r="A11" s="10"/>
      <c r="B11" s="10"/>
      <c r="C11" s="10"/>
      <c r="D11" s="10"/>
      <c r="E11" s="10"/>
      <c r="F11" s="10"/>
      <c r="G11" s="10"/>
      <c r="H11" s="10"/>
      <c r="I11" s="14"/>
      <c r="J11" s="10"/>
      <c r="K11" s="10"/>
      <c r="L11" s="10"/>
      <c r="M11" s="10"/>
      <c r="N11" s="55"/>
      <c r="O11" s="10"/>
      <c r="P11" s="7"/>
      <c r="Q11" s="7"/>
      <c r="R11" s="58"/>
      <c r="S11" s="7"/>
      <c r="T11" s="7"/>
      <c r="U11" s="7"/>
      <c r="V11" s="58"/>
      <c r="W11" s="58"/>
      <c r="X11" s="7"/>
      <c r="Y11" s="7"/>
      <c r="Z11" s="53"/>
      <c r="AA11" s="53"/>
      <c r="AB11" s="90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14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</row>
    <row r="12" spans="1:55" ht="16.5">
      <c r="A12" s="10"/>
      <c r="B12" s="10"/>
      <c r="C12" s="10"/>
      <c r="D12" s="10"/>
      <c r="E12" s="10"/>
      <c r="F12" s="10"/>
      <c r="G12" s="10"/>
      <c r="H12" s="10"/>
      <c r="I12" s="15" t="s">
        <v>18</v>
      </c>
      <c r="J12" s="10"/>
      <c r="K12" s="10"/>
      <c r="L12" s="10"/>
      <c r="M12" s="10"/>
      <c r="N12" s="55"/>
      <c r="O12" s="10"/>
      <c r="P12" s="7"/>
      <c r="Q12" s="7"/>
      <c r="R12" s="58"/>
      <c r="S12" s="7"/>
      <c r="T12" s="7"/>
      <c r="U12" s="7"/>
      <c r="V12" s="58"/>
      <c r="W12" s="58"/>
      <c r="X12" s="7"/>
      <c r="Y12" s="7"/>
      <c r="Z12" s="53"/>
      <c r="AA12" s="53"/>
      <c r="AB12" s="90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15" t="s">
        <v>18</v>
      </c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1:55" ht="15.75">
      <c r="A13" s="16">
        <v>345.4</v>
      </c>
      <c r="B13" s="16">
        <v>10362</v>
      </c>
      <c r="C13" s="16">
        <v>356.48387096774195</v>
      </c>
      <c r="D13" s="16">
        <v>11051</v>
      </c>
      <c r="E13" s="16">
        <v>386.16666666666669</v>
      </c>
      <c r="F13" s="16">
        <v>11585</v>
      </c>
      <c r="G13" s="16">
        <v>422</v>
      </c>
      <c r="H13" s="16">
        <v>13082</v>
      </c>
      <c r="I13" s="17" t="s">
        <v>19</v>
      </c>
      <c r="J13" s="16">
        <v>350.09677419354841</v>
      </c>
      <c r="K13" s="16">
        <v>10853</v>
      </c>
      <c r="L13" s="16">
        <f t="shared" ref="L13:L20" si="2">M13/30</f>
        <v>379.9</v>
      </c>
      <c r="M13" s="42">
        <f>1419+O13+P13+Q13+R13+S13+T13+U13+V13+W13+X13+Y13+Z13+AA13+AB13+AC13+AD13+AE13+AF13+AG13+AH13+AI13+AJ13+AK13+AL13+AM13++AO13</f>
        <v>11397</v>
      </c>
      <c r="N13" s="46">
        <v>416</v>
      </c>
      <c r="O13" s="16">
        <v>113</v>
      </c>
      <c r="P13" s="7">
        <v>443</v>
      </c>
      <c r="Q13" s="7">
        <v>43</v>
      </c>
      <c r="R13" s="58">
        <v>586</v>
      </c>
      <c r="S13" s="7">
        <v>509</v>
      </c>
      <c r="T13" s="7">
        <v>406</v>
      </c>
      <c r="U13" s="7">
        <v>421</v>
      </c>
      <c r="V13" s="58">
        <v>447</v>
      </c>
      <c r="W13" s="58">
        <v>404</v>
      </c>
      <c r="X13" s="7">
        <v>44</v>
      </c>
      <c r="Y13" s="7">
        <v>533</v>
      </c>
      <c r="Z13" s="53">
        <v>508</v>
      </c>
      <c r="AA13" s="53">
        <v>424</v>
      </c>
      <c r="AB13" s="90">
        <v>467</v>
      </c>
      <c r="AC13" s="7">
        <v>400</v>
      </c>
      <c r="AD13" s="7">
        <v>367</v>
      </c>
      <c r="AE13" s="7">
        <v>64</v>
      </c>
      <c r="AF13" s="7">
        <v>642</v>
      </c>
      <c r="AG13" s="7">
        <v>471</v>
      </c>
      <c r="AH13" s="7">
        <v>437</v>
      </c>
      <c r="AI13" s="7">
        <v>438</v>
      </c>
      <c r="AJ13" s="7">
        <v>460</v>
      </c>
      <c r="AK13" s="7">
        <v>324</v>
      </c>
      <c r="AL13" s="7">
        <v>49</v>
      </c>
      <c r="AM13" s="7">
        <v>524</v>
      </c>
      <c r="AN13" s="7">
        <v>465</v>
      </c>
      <c r="AO13" s="7">
        <v>454</v>
      </c>
      <c r="AP13" s="17" t="s">
        <v>19</v>
      </c>
      <c r="AQ13" s="111">
        <f t="shared" ref="AQ13:AQ31" si="3">AR13/9</f>
        <v>371.11111111111109</v>
      </c>
      <c r="AR13" s="7">
        <f t="shared" ref="AR13:AR20" si="4">AS13+AT13+AU13+AV13+AW13+AX13+AY13+AZ13+BA13</f>
        <v>3340</v>
      </c>
      <c r="AS13" s="7">
        <v>411</v>
      </c>
      <c r="AT13" s="7">
        <v>117</v>
      </c>
      <c r="AU13" s="7">
        <v>403</v>
      </c>
      <c r="AV13" s="7">
        <v>42</v>
      </c>
      <c r="AW13" s="7">
        <v>588</v>
      </c>
      <c r="AX13" s="7">
        <v>494</v>
      </c>
      <c r="AY13" s="7">
        <v>460</v>
      </c>
      <c r="AZ13" s="7">
        <v>426</v>
      </c>
      <c r="BA13" s="7">
        <v>399</v>
      </c>
      <c r="BB13" s="7"/>
      <c r="BC13" s="7"/>
    </row>
    <row r="14" spans="1:55" ht="15.75">
      <c r="A14" s="16">
        <v>3003.3666666666668</v>
      </c>
      <c r="B14" s="16">
        <v>90101</v>
      </c>
      <c r="C14" s="16">
        <v>3099.8064516129034</v>
      </c>
      <c r="D14" s="16">
        <v>96094</v>
      </c>
      <c r="E14" s="16">
        <v>3273.0333333333333</v>
      </c>
      <c r="F14" s="16">
        <v>98191</v>
      </c>
      <c r="G14" s="16">
        <v>3463.3225806451615</v>
      </c>
      <c r="H14" s="16">
        <v>107363</v>
      </c>
      <c r="I14" s="17" t="s">
        <v>20</v>
      </c>
      <c r="J14" s="16">
        <v>2790.4193548387098</v>
      </c>
      <c r="K14" s="16">
        <v>86503</v>
      </c>
      <c r="L14" s="16">
        <f t="shared" si="2"/>
        <v>3466.1666666666665</v>
      </c>
      <c r="M14" s="42">
        <f>12728+O14+P14+Q14+R14+S14+T14+U14+V14+W14+X14+Y14+Z14+AA14+AB14+AC14+AD14+AE14+AF14+AG14+AH14+AI14+AJ14+AK14+AL14+AM14+AN14+AO14</f>
        <v>103985</v>
      </c>
      <c r="N14" s="46">
        <v>4229</v>
      </c>
      <c r="O14" s="16">
        <v>527</v>
      </c>
      <c r="P14" s="16">
        <v>3404</v>
      </c>
      <c r="Q14" s="16">
        <v>136</v>
      </c>
      <c r="R14" s="58">
        <v>4744</v>
      </c>
      <c r="S14" s="7">
        <v>4645</v>
      </c>
      <c r="T14" s="16">
        <v>4199</v>
      </c>
      <c r="U14" s="16">
        <v>4080</v>
      </c>
      <c r="V14" s="59">
        <v>3982</v>
      </c>
      <c r="W14" s="58">
        <v>3430</v>
      </c>
      <c r="X14" s="7">
        <v>111</v>
      </c>
      <c r="Y14" s="16">
        <v>4692</v>
      </c>
      <c r="Z14" s="53">
        <v>4484</v>
      </c>
      <c r="AA14" s="53">
        <v>4251</v>
      </c>
      <c r="AB14" s="90">
        <v>4112</v>
      </c>
      <c r="AC14" s="7">
        <v>4021</v>
      </c>
      <c r="AD14" s="7">
        <v>3387</v>
      </c>
      <c r="AE14" s="7">
        <v>129</v>
      </c>
      <c r="AF14" s="7">
        <v>4905</v>
      </c>
      <c r="AG14" s="7">
        <v>4286</v>
      </c>
      <c r="AH14" s="7">
        <v>4048</v>
      </c>
      <c r="AI14" s="7">
        <v>3969</v>
      </c>
      <c r="AJ14" s="7">
        <v>3617</v>
      </c>
      <c r="AK14" s="7">
        <v>3111</v>
      </c>
      <c r="AL14" s="7">
        <v>110</v>
      </c>
      <c r="AM14" s="7">
        <v>4275</v>
      </c>
      <c r="AN14" s="7">
        <v>4316</v>
      </c>
      <c r="AO14" s="7">
        <v>4286</v>
      </c>
      <c r="AP14" s="17" t="s">
        <v>20</v>
      </c>
      <c r="AQ14" s="7">
        <f t="shared" si="3"/>
        <v>3279</v>
      </c>
      <c r="AR14" s="7">
        <f t="shared" si="4"/>
        <v>29511</v>
      </c>
      <c r="AS14" s="7">
        <v>3652</v>
      </c>
      <c r="AT14" s="7">
        <v>558</v>
      </c>
      <c r="AU14" s="7">
        <v>3238</v>
      </c>
      <c r="AV14" s="7">
        <v>94</v>
      </c>
      <c r="AW14" s="7">
        <v>4858</v>
      </c>
      <c r="AX14" s="7">
        <v>4789</v>
      </c>
      <c r="AY14" s="7">
        <v>4484</v>
      </c>
      <c r="AZ14" s="7">
        <v>4045</v>
      </c>
      <c r="BA14" s="7">
        <v>3793</v>
      </c>
      <c r="BB14" s="7"/>
      <c r="BC14" s="7"/>
    </row>
    <row r="15" spans="1:55" ht="15.75">
      <c r="A15" s="16">
        <f t="shared" ref="A15:H15" si="5">+A16+A17+A18+A19+A20</f>
        <v>154.06666666666666</v>
      </c>
      <c r="B15" s="16">
        <f t="shared" si="5"/>
        <v>4622</v>
      </c>
      <c r="C15" s="16">
        <f t="shared" si="5"/>
        <v>158.58064516129033</v>
      </c>
      <c r="D15" s="16">
        <f t="shared" si="5"/>
        <v>4916</v>
      </c>
      <c r="E15" s="16">
        <f t="shared" si="5"/>
        <v>170.20000000000002</v>
      </c>
      <c r="F15" s="16">
        <f t="shared" si="5"/>
        <v>5106</v>
      </c>
      <c r="G15" s="16">
        <f t="shared" si="5"/>
        <v>170.54838709677418</v>
      </c>
      <c r="H15" s="16">
        <f t="shared" si="5"/>
        <v>5287</v>
      </c>
      <c r="I15" s="17" t="s">
        <v>21</v>
      </c>
      <c r="J15" s="16">
        <v>151.38709677419354</v>
      </c>
      <c r="K15" s="16">
        <v>4693</v>
      </c>
      <c r="L15" s="16">
        <f t="shared" si="2"/>
        <v>174.63333333333333</v>
      </c>
      <c r="M15" s="42">
        <f>571+O15+P15+Q15+R15+S15+T15+U15+V15+W15+X15+Y15+Z15+AA15+AB15+AC15+AD15+AE15+AF15+AG15+AH15+AI15+AJ15+AK15+AL15+AM15+AN15+AO15</f>
        <v>5239</v>
      </c>
      <c r="N15" s="46">
        <f>+N16+N17+N18+N19+N20</f>
        <v>161</v>
      </c>
      <c r="O15" s="16">
        <f t="shared" ref="O15:V15" si="6">O16+O17+O18+O19+O20</f>
        <v>94</v>
      </c>
      <c r="P15" s="16">
        <f t="shared" si="6"/>
        <v>140</v>
      </c>
      <c r="Q15" s="16">
        <f t="shared" si="6"/>
        <v>109</v>
      </c>
      <c r="R15" s="59">
        <f t="shared" si="6"/>
        <v>265</v>
      </c>
      <c r="S15" s="16">
        <f t="shared" si="6"/>
        <v>206</v>
      </c>
      <c r="T15" s="16">
        <f t="shared" si="6"/>
        <v>190</v>
      </c>
      <c r="U15" s="16">
        <f t="shared" si="6"/>
        <v>200</v>
      </c>
      <c r="V15" s="59">
        <f t="shared" si="6"/>
        <v>166</v>
      </c>
      <c r="W15" s="58">
        <v>101</v>
      </c>
      <c r="X15" s="7">
        <v>107</v>
      </c>
      <c r="Y15" s="7">
        <v>232</v>
      </c>
      <c r="Z15" s="53">
        <v>214</v>
      </c>
      <c r="AA15" s="53">
        <v>209</v>
      </c>
      <c r="AB15" s="90">
        <v>196</v>
      </c>
      <c r="AC15" s="7">
        <v>154</v>
      </c>
      <c r="AD15" s="7">
        <v>127</v>
      </c>
      <c r="AE15" s="7">
        <v>119</v>
      </c>
      <c r="AF15" s="7">
        <v>196</v>
      </c>
      <c r="AG15" s="7">
        <v>210</v>
      </c>
      <c r="AH15" s="7">
        <v>183</v>
      </c>
      <c r="AI15" s="7">
        <v>164</v>
      </c>
      <c r="AJ15" s="7">
        <v>150</v>
      </c>
      <c r="AK15" s="7">
        <v>215</v>
      </c>
      <c r="AL15" s="7">
        <v>109</v>
      </c>
      <c r="AM15" s="10">
        <f>AM16+AM17+AM18+AM20</f>
        <v>215</v>
      </c>
      <c r="AN15" s="10">
        <f>AN16+AN17+AN18+AN20</f>
        <v>210</v>
      </c>
      <c r="AO15" s="10">
        <f>AO16+AO17+AO18+AO19+AO20</f>
        <v>187</v>
      </c>
      <c r="AP15" s="17" t="s">
        <v>21</v>
      </c>
      <c r="AQ15" s="112">
        <f t="shared" si="3"/>
        <v>165.33333333333334</v>
      </c>
      <c r="AR15" s="10">
        <f t="shared" si="4"/>
        <v>1488</v>
      </c>
      <c r="AS15" s="10">
        <f t="shared" ref="AS15:AZ15" si="7">SUM(AS16:AS20)</f>
        <v>146</v>
      </c>
      <c r="AT15" s="10">
        <f t="shared" si="7"/>
        <v>92</v>
      </c>
      <c r="AU15" s="10">
        <f t="shared" si="7"/>
        <v>121</v>
      </c>
      <c r="AV15" s="10">
        <f t="shared" si="7"/>
        <v>105</v>
      </c>
      <c r="AW15" s="10">
        <f t="shared" si="7"/>
        <v>230</v>
      </c>
      <c r="AX15" s="10">
        <f t="shared" si="7"/>
        <v>219</v>
      </c>
      <c r="AY15" s="10">
        <f t="shared" si="7"/>
        <v>210</v>
      </c>
      <c r="AZ15" s="10">
        <f t="shared" si="7"/>
        <v>190</v>
      </c>
      <c r="BA15" s="10">
        <f>BA16+BA17+BA18+BA20</f>
        <v>175</v>
      </c>
      <c r="BB15" s="10"/>
      <c r="BC15" s="10"/>
    </row>
    <row r="16" spans="1:55" ht="15">
      <c r="A16" s="18">
        <f>+B16/30</f>
        <v>84.966666666666669</v>
      </c>
      <c r="B16" s="18">
        <v>2549</v>
      </c>
      <c r="C16" s="18">
        <f>+D16/31</f>
        <v>88.483870967741936</v>
      </c>
      <c r="D16" s="18">
        <v>2743</v>
      </c>
      <c r="E16" s="18">
        <f>+F16/30</f>
        <v>94.033333333333331</v>
      </c>
      <c r="F16" s="18">
        <v>2821</v>
      </c>
      <c r="G16" s="18">
        <f>+H16/31</f>
        <v>94.806451612903231</v>
      </c>
      <c r="H16" s="18">
        <v>2939</v>
      </c>
      <c r="I16" s="19" t="s">
        <v>22</v>
      </c>
      <c r="J16" s="18">
        <v>86.548387096774192</v>
      </c>
      <c r="K16" s="18">
        <v>2683</v>
      </c>
      <c r="L16" s="18">
        <f t="shared" si="2"/>
        <v>100.5</v>
      </c>
      <c r="M16" s="43">
        <f>325+O16+P16+Q16+R16+S16+T16+U16+V16+W16+X16+Y16+Z16+AA16+AB16+AC16+AD16+AE16+AF16+AG16+AH16+AI16+AJ16+AK16+AL16+AM16+AN16+AO16</f>
        <v>3015</v>
      </c>
      <c r="N16" s="45">
        <v>87</v>
      </c>
      <c r="O16" s="18">
        <v>48</v>
      </c>
      <c r="P16" s="18">
        <v>85</v>
      </c>
      <c r="Q16" s="18">
        <v>80</v>
      </c>
      <c r="R16" s="44">
        <v>143</v>
      </c>
      <c r="S16" s="18">
        <v>130</v>
      </c>
      <c r="T16" s="18">
        <v>118</v>
      </c>
      <c r="U16" s="18">
        <v>124</v>
      </c>
      <c r="V16" s="44">
        <v>109</v>
      </c>
      <c r="W16" s="60">
        <v>66</v>
      </c>
      <c r="X16" s="70">
        <v>68</v>
      </c>
      <c r="Y16" s="70">
        <v>114</v>
      </c>
      <c r="Z16" s="18">
        <v>130</v>
      </c>
      <c r="AA16" s="18">
        <v>115</v>
      </c>
      <c r="AB16" s="44">
        <v>105</v>
      </c>
      <c r="AC16" s="18">
        <v>82</v>
      </c>
      <c r="AD16" s="18">
        <v>86</v>
      </c>
      <c r="AE16" s="18">
        <v>74</v>
      </c>
      <c r="AF16" s="18">
        <v>93</v>
      </c>
      <c r="AG16" s="18">
        <v>121</v>
      </c>
      <c r="AH16" s="18">
        <v>100</v>
      </c>
      <c r="AI16" s="18">
        <v>86</v>
      </c>
      <c r="AJ16" s="18">
        <v>81</v>
      </c>
      <c r="AK16" s="18">
        <v>119</v>
      </c>
      <c r="AL16" s="18">
        <v>60</v>
      </c>
      <c r="AM16" s="18">
        <v>115</v>
      </c>
      <c r="AN16" s="18">
        <v>128</v>
      </c>
      <c r="AO16" s="18">
        <v>110</v>
      </c>
      <c r="AP16" s="19" t="s">
        <v>22</v>
      </c>
      <c r="AQ16" s="43">
        <f t="shared" si="3"/>
        <v>94.666666666666671</v>
      </c>
      <c r="AR16" s="18">
        <f t="shared" si="4"/>
        <v>852</v>
      </c>
      <c r="AS16" s="18">
        <v>81</v>
      </c>
      <c r="AT16" s="18">
        <v>59</v>
      </c>
      <c r="AU16" s="18">
        <v>76</v>
      </c>
      <c r="AV16" s="18">
        <v>62</v>
      </c>
      <c r="AW16" s="18">
        <v>115</v>
      </c>
      <c r="AX16" s="18">
        <v>119</v>
      </c>
      <c r="AY16" s="18">
        <v>122</v>
      </c>
      <c r="AZ16" s="18">
        <v>104</v>
      </c>
      <c r="BA16" s="18">
        <v>114</v>
      </c>
      <c r="BB16" s="18"/>
      <c r="BC16" s="18"/>
    </row>
    <row r="17" spans="1:55" ht="15">
      <c r="A17" s="18">
        <f>+B17/30</f>
        <v>38.666666666666664</v>
      </c>
      <c r="B17" s="18">
        <v>1160</v>
      </c>
      <c r="C17" s="18">
        <f>+D17/31</f>
        <v>39.612903225806448</v>
      </c>
      <c r="D17" s="18">
        <v>1228</v>
      </c>
      <c r="E17" s="18">
        <f>+F17/30</f>
        <v>40.9</v>
      </c>
      <c r="F17" s="18">
        <v>1227</v>
      </c>
      <c r="G17" s="18">
        <f>+H17/31</f>
        <v>40.774193548387096</v>
      </c>
      <c r="H17" s="18">
        <v>1264</v>
      </c>
      <c r="I17" s="19" t="s">
        <v>23</v>
      </c>
      <c r="J17" s="18">
        <v>34.87096774193548</v>
      </c>
      <c r="K17" s="18">
        <v>1081</v>
      </c>
      <c r="L17" s="18">
        <f t="shared" si="2"/>
        <v>36.5</v>
      </c>
      <c r="M17" s="43">
        <f>125+O17+P17+Q17+R17+S17+T17+U17+V17+W17+X17+Y17+Z17+AA17+AB17+AC17+AD17+AE17+AF17+AG17+AH17+AI17+AJ17+AK17+AL17+AM17+AN17+AO17</f>
        <v>1095</v>
      </c>
      <c r="N17" s="45">
        <v>28</v>
      </c>
      <c r="O17" s="18">
        <v>28</v>
      </c>
      <c r="P17" s="18">
        <v>24</v>
      </c>
      <c r="Q17" s="18">
        <v>18</v>
      </c>
      <c r="R17" s="44">
        <v>54</v>
      </c>
      <c r="S17" s="18">
        <v>33</v>
      </c>
      <c r="T17" s="18">
        <v>41</v>
      </c>
      <c r="U17" s="18">
        <v>36</v>
      </c>
      <c r="V17" s="44">
        <v>28</v>
      </c>
      <c r="W17" s="60">
        <v>20</v>
      </c>
      <c r="X17" s="70">
        <v>29</v>
      </c>
      <c r="Y17" s="70">
        <v>47</v>
      </c>
      <c r="Z17" s="18">
        <v>37</v>
      </c>
      <c r="AA17" s="18">
        <v>51</v>
      </c>
      <c r="AB17" s="44">
        <v>43</v>
      </c>
      <c r="AC17" s="18">
        <v>37</v>
      </c>
      <c r="AD17" s="18">
        <v>17</v>
      </c>
      <c r="AE17" s="18">
        <v>29</v>
      </c>
      <c r="AF17" s="18">
        <v>57</v>
      </c>
      <c r="AG17" s="18">
        <v>42</v>
      </c>
      <c r="AH17" s="18">
        <v>33</v>
      </c>
      <c r="AI17" s="18">
        <v>41</v>
      </c>
      <c r="AJ17" s="18">
        <v>40</v>
      </c>
      <c r="AK17" s="18">
        <v>45</v>
      </c>
      <c r="AL17" s="18">
        <v>23</v>
      </c>
      <c r="AM17" s="18">
        <v>45</v>
      </c>
      <c r="AN17" s="18">
        <v>37</v>
      </c>
      <c r="AO17" s="18">
        <v>35</v>
      </c>
      <c r="AP17" s="19" t="s">
        <v>23</v>
      </c>
      <c r="AQ17" s="43">
        <f t="shared" si="3"/>
        <v>33.555555555555557</v>
      </c>
      <c r="AR17" s="18">
        <f t="shared" si="4"/>
        <v>302</v>
      </c>
      <c r="AS17" s="18">
        <v>31</v>
      </c>
      <c r="AT17" s="18">
        <v>15</v>
      </c>
      <c r="AU17" s="18">
        <v>20</v>
      </c>
      <c r="AV17" s="18">
        <v>23</v>
      </c>
      <c r="AW17" s="18">
        <v>52</v>
      </c>
      <c r="AX17" s="18">
        <v>40</v>
      </c>
      <c r="AY17" s="18">
        <v>51</v>
      </c>
      <c r="AZ17" s="18">
        <v>40</v>
      </c>
      <c r="BA17" s="18">
        <v>30</v>
      </c>
      <c r="BB17" s="18"/>
      <c r="BC17" s="18"/>
    </row>
    <row r="18" spans="1:55" ht="15">
      <c r="A18" s="18">
        <f>+B18/30</f>
        <v>26.533333333333335</v>
      </c>
      <c r="B18" s="18">
        <v>796</v>
      </c>
      <c r="C18" s="18">
        <f>+D18/31</f>
        <v>26.774193548387096</v>
      </c>
      <c r="D18" s="18">
        <v>830</v>
      </c>
      <c r="E18" s="18">
        <f>+F18/30</f>
        <v>31.9</v>
      </c>
      <c r="F18" s="18">
        <v>957</v>
      </c>
      <c r="G18" s="18">
        <f>+H18/31</f>
        <v>31.322580645161292</v>
      </c>
      <c r="H18" s="18">
        <v>971</v>
      </c>
      <c r="I18" s="19" t="s">
        <v>24</v>
      </c>
      <c r="J18" s="18">
        <v>26.612903225806452</v>
      </c>
      <c r="K18" s="18">
        <v>825</v>
      </c>
      <c r="L18" s="18">
        <f t="shared" si="2"/>
        <v>33.133333333333333</v>
      </c>
      <c r="M18" s="43">
        <f>114+O18+P18+Q18+R18+S18+T18+U17:U18+V18+W18+X18+Y18+Z18+AA18+AB18+AC18+AD18+AE18+AF18+AG18+AH18+AI18+AJ18+AK18+AL18+AM18+AN18+AO18</f>
        <v>994</v>
      </c>
      <c r="N18" s="45">
        <v>44</v>
      </c>
      <c r="O18" s="18">
        <v>14</v>
      </c>
      <c r="P18" s="18">
        <v>29</v>
      </c>
      <c r="Q18" s="18">
        <v>10</v>
      </c>
      <c r="R18" s="44">
        <v>66</v>
      </c>
      <c r="S18" s="18">
        <v>40</v>
      </c>
      <c r="T18" s="18">
        <v>30</v>
      </c>
      <c r="U18" s="18">
        <v>36</v>
      </c>
      <c r="V18" s="44">
        <v>27</v>
      </c>
      <c r="W18" s="60">
        <v>13</v>
      </c>
      <c r="X18" s="70">
        <v>10</v>
      </c>
      <c r="Y18" s="70">
        <v>57</v>
      </c>
      <c r="Z18" s="18">
        <v>41</v>
      </c>
      <c r="AA18" s="18">
        <v>36</v>
      </c>
      <c r="AB18" s="44">
        <v>44</v>
      </c>
      <c r="AC18" s="18">
        <v>35</v>
      </c>
      <c r="AD18" s="18">
        <v>17</v>
      </c>
      <c r="AE18" s="18">
        <v>14</v>
      </c>
      <c r="AF18" s="18">
        <v>44</v>
      </c>
      <c r="AG18" s="18">
        <v>39</v>
      </c>
      <c r="AH18" s="18">
        <v>43</v>
      </c>
      <c r="AI18" s="18">
        <v>34</v>
      </c>
      <c r="AJ18" s="18">
        <v>25</v>
      </c>
      <c r="AK18" s="18">
        <v>39</v>
      </c>
      <c r="AL18" s="18">
        <v>19</v>
      </c>
      <c r="AM18" s="18">
        <v>49</v>
      </c>
      <c r="AN18" s="18">
        <v>34</v>
      </c>
      <c r="AO18" s="18">
        <v>35</v>
      </c>
      <c r="AP18" s="19" t="s">
        <v>24</v>
      </c>
      <c r="AQ18" s="43">
        <f t="shared" si="3"/>
        <v>31.444444444444443</v>
      </c>
      <c r="AR18" s="18">
        <f t="shared" si="4"/>
        <v>283</v>
      </c>
      <c r="AS18" s="18">
        <v>28</v>
      </c>
      <c r="AT18" s="18">
        <v>14</v>
      </c>
      <c r="AU18" s="18">
        <v>19</v>
      </c>
      <c r="AV18" s="18">
        <v>16</v>
      </c>
      <c r="AW18" s="18">
        <v>56</v>
      </c>
      <c r="AX18" s="18">
        <v>49</v>
      </c>
      <c r="AY18" s="18">
        <v>33</v>
      </c>
      <c r="AZ18" s="18">
        <v>40</v>
      </c>
      <c r="BA18" s="18">
        <v>28</v>
      </c>
      <c r="BB18" s="18"/>
      <c r="BC18" s="18"/>
    </row>
    <row r="19" spans="1:55" ht="15">
      <c r="A19" s="18">
        <f>+B19/30</f>
        <v>0.83333333333333337</v>
      </c>
      <c r="B19" s="18">
        <v>25</v>
      </c>
      <c r="C19" s="18">
        <f>+D19/31</f>
        <v>0.64516129032258063</v>
      </c>
      <c r="D19" s="18">
        <v>20</v>
      </c>
      <c r="E19" s="18">
        <f>+F19/30</f>
        <v>0.26666666666666666</v>
      </c>
      <c r="F19" s="18">
        <v>8</v>
      </c>
      <c r="G19" s="18">
        <f>+H19/31</f>
        <v>0.16129032258064516</v>
      </c>
      <c r="H19" s="18">
        <v>5</v>
      </c>
      <c r="I19" s="19" t="s">
        <v>25</v>
      </c>
      <c r="J19" s="18">
        <v>0.25806451612903225</v>
      </c>
      <c r="K19" s="18">
        <v>8</v>
      </c>
      <c r="L19" s="43">
        <f t="shared" si="2"/>
        <v>3.3333333333333333E-2</v>
      </c>
      <c r="M19" s="18">
        <v>1</v>
      </c>
      <c r="N19" s="45">
        <v>0</v>
      </c>
      <c r="O19" s="18"/>
      <c r="P19" s="18"/>
      <c r="Q19" s="18"/>
      <c r="R19" s="44"/>
      <c r="S19" s="18"/>
      <c r="T19" s="18"/>
      <c r="U19" s="18"/>
      <c r="V19" s="44"/>
      <c r="W19" s="60"/>
      <c r="X19" s="70"/>
      <c r="Y19" s="70"/>
      <c r="Z19" s="53"/>
      <c r="AA19" s="53"/>
      <c r="AB19" s="44"/>
      <c r="AC19" s="18"/>
      <c r="AD19" s="18"/>
      <c r="AE19" s="18">
        <v>1</v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>
        <v>1</v>
      </c>
      <c r="AP19" s="19" t="s">
        <v>25</v>
      </c>
      <c r="AQ19" s="43">
        <f t="shared" si="3"/>
        <v>0.1111111111111111</v>
      </c>
      <c r="AR19" s="18">
        <f t="shared" si="4"/>
        <v>1</v>
      </c>
      <c r="AS19" s="18"/>
      <c r="AT19" s="18"/>
      <c r="AU19" s="18">
        <v>1</v>
      </c>
      <c r="AV19" s="18"/>
      <c r="AW19" s="18"/>
      <c r="AX19" s="18"/>
      <c r="AY19" s="18"/>
      <c r="AZ19" s="18"/>
      <c r="BA19" s="18"/>
      <c r="BB19" s="18"/>
      <c r="BC19" s="18"/>
    </row>
    <row r="20" spans="1:55" ht="15">
      <c r="A20" s="18">
        <f>+B20/30</f>
        <v>3.0666666666666669</v>
      </c>
      <c r="B20" s="18">
        <v>92</v>
      </c>
      <c r="C20" s="18">
        <f>+D20/31</f>
        <v>3.064516129032258</v>
      </c>
      <c r="D20" s="18">
        <v>95</v>
      </c>
      <c r="E20" s="18">
        <f>+F20/30</f>
        <v>3.1</v>
      </c>
      <c r="F20" s="18">
        <v>93</v>
      </c>
      <c r="G20" s="18">
        <f>+H20/31</f>
        <v>3.4838709677419355</v>
      </c>
      <c r="H20" s="18">
        <v>108</v>
      </c>
      <c r="I20" s="19" t="s">
        <v>26</v>
      </c>
      <c r="J20" s="18">
        <v>3.096774193548387</v>
      </c>
      <c r="K20" s="18">
        <v>96</v>
      </c>
      <c r="L20" s="18">
        <f t="shared" si="2"/>
        <v>4.4333333333333336</v>
      </c>
      <c r="M20" s="43">
        <f>7+O20+P20+Q20+R20+S20+T20+U20+V20+W20+Y20+Z20+AA20+AB20+AC20+AD20+AE20+AF20+AG20+AH20+AI20+AJ20+AK20+AL20+AM20+AN20+AO20</f>
        <v>133</v>
      </c>
      <c r="N20" s="45">
        <v>2</v>
      </c>
      <c r="O20" s="18">
        <v>4</v>
      </c>
      <c r="P20" s="18">
        <v>2</v>
      </c>
      <c r="Q20" s="18">
        <v>1</v>
      </c>
      <c r="R20" s="44">
        <v>2</v>
      </c>
      <c r="S20" s="18">
        <v>3</v>
      </c>
      <c r="T20" s="18">
        <v>1</v>
      </c>
      <c r="U20" s="18">
        <v>4</v>
      </c>
      <c r="V20" s="44">
        <v>2</v>
      </c>
      <c r="W20" s="60">
        <v>2</v>
      </c>
      <c r="X20" s="70"/>
      <c r="Y20" s="70">
        <v>14</v>
      </c>
      <c r="Z20" s="45">
        <v>6</v>
      </c>
      <c r="AA20" s="45">
        <v>7</v>
      </c>
      <c r="AB20" s="44">
        <v>4</v>
      </c>
      <c r="AC20" s="7"/>
      <c r="AD20" s="70">
        <v>7</v>
      </c>
      <c r="AE20" s="70">
        <v>1</v>
      </c>
      <c r="AF20" s="70">
        <v>2</v>
      </c>
      <c r="AG20" s="70">
        <v>8</v>
      </c>
      <c r="AH20" s="70">
        <v>7</v>
      </c>
      <c r="AI20" s="70">
        <v>3</v>
      </c>
      <c r="AJ20" s="70">
        <v>4</v>
      </c>
      <c r="AK20" s="70">
        <v>12</v>
      </c>
      <c r="AL20" s="70">
        <v>7</v>
      </c>
      <c r="AM20" s="70">
        <v>6</v>
      </c>
      <c r="AN20" s="70">
        <v>11</v>
      </c>
      <c r="AO20" s="70">
        <v>6</v>
      </c>
      <c r="AP20" s="19" t="s">
        <v>26</v>
      </c>
      <c r="AQ20" s="113">
        <f t="shared" si="3"/>
        <v>5.5555555555555554</v>
      </c>
      <c r="AR20" s="70">
        <f t="shared" si="4"/>
        <v>50</v>
      </c>
      <c r="AS20" s="70">
        <v>6</v>
      </c>
      <c r="AT20" s="70">
        <v>4</v>
      </c>
      <c r="AU20" s="70">
        <v>5</v>
      </c>
      <c r="AV20" s="70">
        <v>4</v>
      </c>
      <c r="AW20" s="70">
        <v>7</v>
      </c>
      <c r="AX20" s="70">
        <v>11</v>
      </c>
      <c r="AY20" s="70">
        <v>4</v>
      </c>
      <c r="AZ20" s="70">
        <v>6</v>
      </c>
      <c r="BA20" s="70">
        <v>3</v>
      </c>
      <c r="BB20" s="70"/>
      <c r="BC20" s="70"/>
    </row>
    <row r="21" spans="1:55" ht="15">
      <c r="A21" s="18"/>
      <c r="B21" s="18"/>
      <c r="C21" s="18"/>
      <c r="D21" s="18"/>
      <c r="E21" s="18"/>
      <c r="F21" s="18"/>
      <c r="G21" s="18"/>
      <c r="H21" s="18"/>
      <c r="I21" s="20"/>
      <c r="J21" s="18"/>
      <c r="K21" s="18"/>
      <c r="L21" s="18">
        <f>M21/16</f>
        <v>0</v>
      </c>
      <c r="M21" s="18"/>
      <c r="N21" s="45"/>
      <c r="O21" s="18"/>
      <c r="P21" s="7"/>
      <c r="Q21" s="7"/>
      <c r="R21" s="58"/>
      <c r="S21" s="7"/>
      <c r="T21" s="18"/>
      <c r="U21" s="18"/>
      <c r="V21" s="44"/>
      <c r="W21" s="58"/>
      <c r="X21" s="7"/>
      <c r="Y21" s="70"/>
      <c r="Z21" s="45"/>
      <c r="AA21" s="45"/>
      <c r="AB21" s="90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20"/>
      <c r="AQ21" s="7">
        <f t="shared" si="3"/>
        <v>0</v>
      </c>
      <c r="AR21" s="7">
        <f t="shared" ref="AR21" si="8">AS21+AT21+AU21+AV21+AW21+AX21+AY21+AZ21</f>
        <v>0</v>
      </c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</row>
    <row r="22" spans="1:55" ht="15">
      <c r="A22" s="18">
        <v>44.366666666666667</v>
      </c>
      <c r="B22" s="18">
        <v>1331</v>
      </c>
      <c r="C22" s="18">
        <v>44.58064516129032</v>
      </c>
      <c r="D22" s="18">
        <v>1382</v>
      </c>
      <c r="E22" s="18">
        <v>48.06666666666667</v>
      </c>
      <c r="F22" s="18">
        <v>1442</v>
      </c>
      <c r="G22" s="18">
        <v>48.806451612903224</v>
      </c>
      <c r="H22" s="18">
        <v>1513</v>
      </c>
      <c r="I22" s="20" t="s">
        <v>27</v>
      </c>
      <c r="J22" s="18">
        <v>50.806451612903224</v>
      </c>
      <c r="K22" s="18">
        <v>1575</v>
      </c>
      <c r="L22" s="18">
        <f>M22/30</f>
        <v>52.3</v>
      </c>
      <c r="M22" s="43">
        <f>138+O22+P22+Q22+R22+S22+T22+U22+V22+W22+X22+Y22+Z22+AA22+AB22+AC22+AD22+AE22+AF22+AG22+AH22+AI22+AJ22+AK22+AL22+AM22+AN22+AO22</f>
        <v>1569</v>
      </c>
      <c r="N22" s="45">
        <v>46</v>
      </c>
      <c r="O22" s="18">
        <v>48</v>
      </c>
      <c r="P22" s="18">
        <v>64</v>
      </c>
      <c r="Q22" s="18">
        <v>46</v>
      </c>
      <c r="R22" s="60">
        <v>47</v>
      </c>
      <c r="S22" s="18">
        <v>61</v>
      </c>
      <c r="T22" s="18">
        <v>56</v>
      </c>
      <c r="U22" s="18">
        <v>47</v>
      </c>
      <c r="V22" s="44">
        <v>49</v>
      </c>
      <c r="W22" s="60">
        <v>43</v>
      </c>
      <c r="X22" s="70">
        <v>46</v>
      </c>
      <c r="Y22" s="18">
        <v>47</v>
      </c>
      <c r="Z22" s="45">
        <v>54</v>
      </c>
      <c r="AA22" s="45">
        <v>54</v>
      </c>
      <c r="AB22" s="91">
        <v>53</v>
      </c>
      <c r="AC22" s="18">
        <v>52</v>
      </c>
      <c r="AD22" s="18">
        <v>60</v>
      </c>
      <c r="AE22" s="18">
        <v>51</v>
      </c>
      <c r="AF22" s="18">
        <v>38</v>
      </c>
      <c r="AG22" s="18">
        <v>55</v>
      </c>
      <c r="AH22" s="18">
        <v>61</v>
      </c>
      <c r="AI22" s="18">
        <v>43</v>
      </c>
      <c r="AJ22" s="18">
        <v>51</v>
      </c>
      <c r="AK22" s="18">
        <v>101</v>
      </c>
      <c r="AL22" s="18">
        <v>44</v>
      </c>
      <c r="AM22" s="18">
        <v>45</v>
      </c>
      <c r="AN22" s="18">
        <v>62</v>
      </c>
      <c r="AO22" s="18">
        <v>53</v>
      </c>
      <c r="AP22" s="20" t="s">
        <v>27</v>
      </c>
      <c r="AQ22" s="114">
        <f t="shared" si="3"/>
        <v>51.666666666666664</v>
      </c>
      <c r="AR22" s="18">
        <f>AS22+AT22+AU22+AV22+AW22+AX22+AY22+AZ22+BA22</f>
        <v>465</v>
      </c>
      <c r="AS22" s="18">
        <v>50</v>
      </c>
      <c r="AT22" s="18">
        <v>45</v>
      </c>
      <c r="AU22" s="18">
        <v>76</v>
      </c>
      <c r="AV22" s="18">
        <v>41</v>
      </c>
      <c r="AW22" s="18">
        <v>45</v>
      </c>
      <c r="AX22" s="18">
        <v>50</v>
      </c>
      <c r="AY22" s="18">
        <v>68</v>
      </c>
      <c r="AZ22" s="18">
        <v>57</v>
      </c>
      <c r="BA22" s="18">
        <v>33</v>
      </c>
      <c r="BB22" s="18"/>
      <c r="BC22" s="18"/>
    </row>
    <row r="23" spans="1:55" ht="15">
      <c r="A23" s="18">
        <v>74.7</v>
      </c>
      <c r="B23" s="18">
        <v>2241</v>
      </c>
      <c r="C23" s="18">
        <v>80.064516129032256</v>
      </c>
      <c r="D23" s="18">
        <v>2482</v>
      </c>
      <c r="E23" s="18">
        <v>82.7</v>
      </c>
      <c r="F23" s="18">
        <v>2481</v>
      </c>
      <c r="G23" s="18">
        <v>78.967741935483872</v>
      </c>
      <c r="H23" s="18">
        <v>2448</v>
      </c>
      <c r="I23" s="20" t="s">
        <v>28</v>
      </c>
      <c r="J23" s="18">
        <v>65.774193548387103</v>
      </c>
      <c r="K23" s="18">
        <v>2039</v>
      </c>
      <c r="L23" s="18">
        <f>M23/30</f>
        <v>78.566666666666663</v>
      </c>
      <c r="M23" s="43">
        <f>243+O23+P23+Q23+R23+S23+T23+U23+V23+W23+X23+Y23+Z23+AA23+AB23+AC23+AD23+AE23+AF23+AG23+AH23+AI23+AJ23+AK23+AL23+AM23+AN23+AO23</f>
        <v>2357</v>
      </c>
      <c r="N23" s="45">
        <v>46</v>
      </c>
      <c r="O23" s="18">
        <v>37</v>
      </c>
      <c r="P23" s="18">
        <v>29</v>
      </c>
      <c r="Q23" s="18">
        <v>59</v>
      </c>
      <c r="R23" s="60">
        <v>143</v>
      </c>
      <c r="S23" s="18">
        <v>82</v>
      </c>
      <c r="T23" s="18">
        <v>86</v>
      </c>
      <c r="U23" s="18">
        <v>93</v>
      </c>
      <c r="V23" s="44">
        <v>86</v>
      </c>
      <c r="W23" s="60">
        <v>24</v>
      </c>
      <c r="X23" s="70">
        <v>57</v>
      </c>
      <c r="Y23" s="18">
        <v>122</v>
      </c>
      <c r="Z23" s="45">
        <v>94</v>
      </c>
      <c r="AA23" s="45">
        <v>98</v>
      </c>
      <c r="AB23" s="91">
        <v>87</v>
      </c>
      <c r="AC23" s="18">
        <v>54</v>
      </c>
      <c r="AD23" s="18">
        <v>34</v>
      </c>
      <c r="AE23" s="18">
        <v>62</v>
      </c>
      <c r="AF23" s="18">
        <v>105</v>
      </c>
      <c r="AG23" s="18">
        <v>99</v>
      </c>
      <c r="AH23" s="18">
        <v>79</v>
      </c>
      <c r="AI23" s="18">
        <v>78</v>
      </c>
      <c r="AJ23" s="18">
        <v>61</v>
      </c>
      <c r="AK23" s="18">
        <v>84</v>
      </c>
      <c r="AL23" s="18">
        <v>62</v>
      </c>
      <c r="AM23" s="18">
        <v>113</v>
      </c>
      <c r="AN23" s="18">
        <v>92</v>
      </c>
      <c r="AO23" s="18">
        <v>94</v>
      </c>
      <c r="AP23" s="20" t="s">
        <v>28</v>
      </c>
      <c r="AQ23" s="114">
        <f t="shared" si="3"/>
        <v>71.777777777777771</v>
      </c>
      <c r="AR23" s="18">
        <f>AS23+AT23+AU23+AV23+AW23+AX23+AY23+AZ23+BA23</f>
        <v>646</v>
      </c>
      <c r="AS23" s="18">
        <v>53</v>
      </c>
      <c r="AT23" s="18">
        <v>38</v>
      </c>
      <c r="AU23" s="18">
        <v>20</v>
      </c>
      <c r="AV23" s="18">
        <v>53</v>
      </c>
      <c r="AW23" s="18">
        <v>128</v>
      </c>
      <c r="AX23" s="18">
        <v>108</v>
      </c>
      <c r="AY23" s="18">
        <v>90</v>
      </c>
      <c r="AZ23" s="18">
        <v>79</v>
      </c>
      <c r="BA23" s="18">
        <v>77</v>
      </c>
      <c r="BB23" s="18"/>
      <c r="BC23" s="18"/>
    </row>
    <row r="24" spans="1:55" ht="30">
      <c r="A24" s="18">
        <f t="shared" ref="A24:H24" si="9">+A15-A22-A23</f>
        <v>34.999999999999986</v>
      </c>
      <c r="B24" s="18">
        <f t="shared" si="9"/>
        <v>1050</v>
      </c>
      <c r="C24" s="18">
        <f t="shared" si="9"/>
        <v>33.935483870967758</v>
      </c>
      <c r="D24" s="18">
        <f t="shared" si="9"/>
        <v>1052</v>
      </c>
      <c r="E24" s="18">
        <f t="shared" si="9"/>
        <v>39.433333333333351</v>
      </c>
      <c r="F24" s="18">
        <f t="shared" si="9"/>
        <v>1183</v>
      </c>
      <c r="G24" s="18">
        <f t="shared" si="9"/>
        <v>42.774193548387075</v>
      </c>
      <c r="H24" s="18">
        <f t="shared" si="9"/>
        <v>1326</v>
      </c>
      <c r="I24" s="21" t="s">
        <v>29</v>
      </c>
      <c r="J24" s="18">
        <v>34.806451612903203</v>
      </c>
      <c r="K24" s="18">
        <v>1079</v>
      </c>
      <c r="L24" s="18">
        <f>M24/30</f>
        <v>41.9</v>
      </c>
      <c r="M24" s="43">
        <f>190+O24+P24+Q24+R24+S24+T24+U24+V24+W24+X24+Y24+Z24+AA24+AB24+AC24+AD24+AE24+AF24+AG24+AH24+AI24+AJ24+AK24+AL24+AM24++AO24</f>
        <v>1257</v>
      </c>
      <c r="N24" s="45">
        <f>+N15-N22-N23</f>
        <v>69</v>
      </c>
      <c r="O24" s="18">
        <v>9</v>
      </c>
      <c r="P24" s="18">
        <v>47</v>
      </c>
      <c r="Q24" s="18">
        <v>4</v>
      </c>
      <c r="R24" s="44">
        <v>75</v>
      </c>
      <c r="S24" s="18">
        <v>63</v>
      </c>
      <c r="T24" s="18">
        <v>48</v>
      </c>
      <c r="U24" s="18">
        <v>60</v>
      </c>
      <c r="V24" s="44">
        <v>31</v>
      </c>
      <c r="W24" s="60">
        <v>34</v>
      </c>
      <c r="X24" s="70">
        <v>4</v>
      </c>
      <c r="Y24" s="70">
        <v>63</v>
      </c>
      <c r="Z24" s="45">
        <v>66</v>
      </c>
      <c r="AA24" s="45">
        <v>57</v>
      </c>
      <c r="AB24" s="44">
        <v>56</v>
      </c>
      <c r="AC24" s="18">
        <v>48</v>
      </c>
      <c r="AD24" s="18">
        <v>33</v>
      </c>
      <c r="AE24" s="18">
        <v>6</v>
      </c>
      <c r="AF24" s="18">
        <v>53</v>
      </c>
      <c r="AG24" s="18">
        <v>56</v>
      </c>
      <c r="AH24" s="18">
        <v>43</v>
      </c>
      <c r="AI24" s="18">
        <f t="shared" ref="AI24:AN24" si="10">AI15-AI22-AI23</f>
        <v>43</v>
      </c>
      <c r="AJ24" s="18">
        <f t="shared" si="10"/>
        <v>38</v>
      </c>
      <c r="AK24" s="18">
        <f t="shared" si="10"/>
        <v>30</v>
      </c>
      <c r="AL24" s="18">
        <f t="shared" si="10"/>
        <v>3</v>
      </c>
      <c r="AM24" s="18">
        <f t="shared" si="10"/>
        <v>57</v>
      </c>
      <c r="AN24" s="18">
        <f t="shared" si="10"/>
        <v>56</v>
      </c>
      <c r="AO24" s="18">
        <f>AO15-AO22-AO23</f>
        <v>40</v>
      </c>
      <c r="AP24" s="21" t="s">
        <v>29</v>
      </c>
      <c r="AQ24" s="114">
        <f t="shared" si="3"/>
        <v>41.888888888888886</v>
      </c>
      <c r="AR24" s="18">
        <f>AS24+AT24+AU24+AV24+AW24+AX24+AY24+AZ24+BA24</f>
        <v>377</v>
      </c>
      <c r="AS24" s="18">
        <f t="shared" ref="AS24:BA24" si="11">AS15-AS22-AS23</f>
        <v>43</v>
      </c>
      <c r="AT24" s="18">
        <f t="shared" si="11"/>
        <v>9</v>
      </c>
      <c r="AU24" s="18">
        <f t="shared" si="11"/>
        <v>25</v>
      </c>
      <c r="AV24" s="18">
        <f t="shared" si="11"/>
        <v>11</v>
      </c>
      <c r="AW24" s="18">
        <f t="shared" si="11"/>
        <v>57</v>
      </c>
      <c r="AX24" s="18">
        <f t="shared" si="11"/>
        <v>61</v>
      </c>
      <c r="AY24" s="18">
        <f t="shared" si="11"/>
        <v>52</v>
      </c>
      <c r="AZ24" s="18">
        <f t="shared" si="11"/>
        <v>54</v>
      </c>
      <c r="BA24" s="18">
        <f t="shared" si="11"/>
        <v>65</v>
      </c>
      <c r="BB24" s="18"/>
      <c r="BC24" s="18"/>
    </row>
    <row r="25" spans="1:55" ht="15">
      <c r="A25" s="18"/>
      <c r="B25" s="18"/>
      <c r="C25" s="18"/>
      <c r="D25" s="18"/>
      <c r="E25" s="18"/>
      <c r="F25" s="18"/>
      <c r="G25" s="18"/>
      <c r="H25" s="18"/>
      <c r="I25" s="20"/>
      <c r="J25" s="18"/>
      <c r="K25" s="18"/>
      <c r="L25" s="18"/>
      <c r="M25" s="18"/>
      <c r="N25" s="45"/>
      <c r="O25" s="45"/>
      <c r="P25" s="7"/>
      <c r="Q25" s="7"/>
      <c r="R25" s="58"/>
      <c r="S25" s="7"/>
      <c r="T25" s="7"/>
      <c r="U25" s="7"/>
      <c r="V25" s="58"/>
      <c r="W25" s="58"/>
      <c r="X25" s="7"/>
      <c r="Y25" s="70"/>
      <c r="Z25" s="53"/>
      <c r="AA25" s="53"/>
      <c r="AB25" s="90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20"/>
      <c r="AQ25" s="7">
        <f t="shared" si="3"/>
        <v>0</v>
      </c>
      <c r="AR25" s="7">
        <f t="shared" ref="AR25" si="12">AS25+AT25+AU25+AV25+AW25+AX25</f>
        <v>0</v>
      </c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.75">
      <c r="A26" s="16">
        <f t="shared" ref="A26:H26" si="13">+A27+A28+A29+A30+A31</f>
        <v>155.93333333333337</v>
      </c>
      <c r="B26" s="16">
        <f t="shared" si="13"/>
        <v>4678</v>
      </c>
      <c r="C26" s="16">
        <f t="shared" si="13"/>
        <v>158.77419354838713</v>
      </c>
      <c r="D26" s="16">
        <f t="shared" si="13"/>
        <v>4922</v>
      </c>
      <c r="E26" s="16">
        <f t="shared" si="13"/>
        <v>167.76666666666665</v>
      </c>
      <c r="F26" s="16">
        <f t="shared" si="13"/>
        <v>5033</v>
      </c>
      <c r="G26" s="16">
        <f t="shared" si="13"/>
        <v>170.45161290322579</v>
      </c>
      <c r="H26" s="16">
        <f t="shared" si="13"/>
        <v>5284</v>
      </c>
      <c r="I26" s="17" t="s">
        <v>30</v>
      </c>
      <c r="J26" s="16">
        <v>151.2258064516129</v>
      </c>
      <c r="K26" s="16">
        <v>4688</v>
      </c>
      <c r="L26" s="16">
        <f t="shared" ref="L26:L31" si="14">M26/30</f>
        <v>170.16666666666666</v>
      </c>
      <c r="M26" s="42">
        <f>606+O26+P26+Q26+R26+S26+T26+U26+V26+W26+X26+Y26+Z26+AA26+AB26+AC26+AD26+AE26+AF26+AG26+AH26+AI26+AJ26+AK26+AL26+AM26+AN26+AO26</f>
        <v>5105</v>
      </c>
      <c r="N26" s="46">
        <f>+N27+N28+N29+N30+N31</f>
        <v>230</v>
      </c>
      <c r="O26" s="16">
        <f t="shared" ref="O26:V26" si="15">O27+O28+O29+O30+O31</f>
        <v>77</v>
      </c>
      <c r="P26" s="16">
        <f t="shared" si="15"/>
        <v>216</v>
      </c>
      <c r="Q26" s="16">
        <f t="shared" si="15"/>
        <v>43</v>
      </c>
      <c r="R26" s="59">
        <f t="shared" si="15"/>
        <v>206</v>
      </c>
      <c r="S26" s="16">
        <f t="shared" si="15"/>
        <v>227</v>
      </c>
      <c r="T26" s="16">
        <f t="shared" si="15"/>
        <v>200</v>
      </c>
      <c r="U26" s="16">
        <f t="shared" si="15"/>
        <v>178</v>
      </c>
      <c r="V26" s="59">
        <f t="shared" si="15"/>
        <v>155</v>
      </c>
      <c r="W26" s="58">
        <v>208</v>
      </c>
      <c r="X26" s="7">
        <v>55</v>
      </c>
      <c r="Y26" s="7">
        <v>211</v>
      </c>
      <c r="Z26" s="53">
        <v>177</v>
      </c>
      <c r="AA26" s="53">
        <v>187</v>
      </c>
      <c r="AB26" s="90">
        <v>188</v>
      </c>
      <c r="AC26" s="7">
        <v>179</v>
      </c>
      <c r="AD26" s="7">
        <v>240</v>
      </c>
      <c r="AE26" s="7">
        <v>50</v>
      </c>
      <c r="AF26" s="7">
        <v>179</v>
      </c>
      <c r="AG26" s="7">
        <v>197</v>
      </c>
      <c r="AH26" s="7">
        <v>179</v>
      </c>
      <c r="AI26" s="7">
        <f>AI27+AI28+AI29+AI31</f>
        <v>185</v>
      </c>
      <c r="AJ26" s="7">
        <v>161</v>
      </c>
      <c r="AK26" s="7">
        <v>218</v>
      </c>
      <c r="AL26" s="7">
        <v>31</v>
      </c>
      <c r="AM26" s="10">
        <f>AM27+AM28+AM29+AM30+AM31</f>
        <v>184</v>
      </c>
      <c r="AN26" s="10">
        <f>AN27+AN28+AN29+AN30+AN31</f>
        <v>199</v>
      </c>
      <c r="AO26" s="10">
        <f>AO27+AO28+AO29+AO31</f>
        <v>169</v>
      </c>
      <c r="AP26" s="17" t="s">
        <v>30</v>
      </c>
      <c r="AQ26" s="112">
        <f t="shared" si="3"/>
        <v>172.88888888888889</v>
      </c>
      <c r="AR26" s="10">
        <f t="shared" ref="AR26:AR31" si="16">AS26+AT26+AU26+AV26+AW26+AX26+AY26+AZ26+BA26</f>
        <v>1556</v>
      </c>
      <c r="AS26" s="10">
        <f t="shared" ref="AS26:BA26" si="17">SUM(AS27:AS31)</f>
        <v>236</v>
      </c>
      <c r="AT26" s="10">
        <f t="shared" si="17"/>
        <v>120</v>
      </c>
      <c r="AU26" s="10">
        <f t="shared" si="17"/>
        <v>208</v>
      </c>
      <c r="AV26" s="10">
        <f t="shared" si="17"/>
        <v>40</v>
      </c>
      <c r="AW26" s="10">
        <f t="shared" si="17"/>
        <v>186</v>
      </c>
      <c r="AX26" s="10">
        <f t="shared" si="17"/>
        <v>173</v>
      </c>
      <c r="AY26" s="10">
        <f t="shared" si="17"/>
        <v>192</v>
      </c>
      <c r="AZ26" s="10">
        <f t="shared" si="17"/>
        <v>215</v>
      </c>
      <c r="BA26" s="10">
        <f t="shared" si="17"/>
        <v>186</v>
      </c>
      <c r="BB26" s="10"/>
      <c r="BC26" s="10"/>
    </row>
    <row r="27" spans="1:55" ht="15">
      <c r="A27" s="18">
        <f>+B27/30</f>
        <v>87.066666666666663</v>
      </c>
      <c r="B27" s="18">
        <v>2612</v>
      </c>
      <c r="C27" s="18">
        <f>+D27/31</f>
        <v>87.451612903225808</v>
      </c>
      <c r="D27" s="18">
        <v>2711</v>
      </c>
      <c r="E27" s="18">
        <f>+F27/30</f>
        <v>92.466666666666669</v>
      </c>
      <c r="F27" s="18">
        <v>2774</v>
      </c>
      <c r="G27" s="18">
        <f>+H27/31</f>
        <v>95.483870967741936</v>
      </c>
      <c r="H27" s="18">
        <v>2960</v>
      </c>
      <c r="I27" s="22" t="s">
        <v>22</v>
      </c>
      <c r="J27" s="18">
        <v>85.677419354838705</v>
      </c>
      <c r="K27" s="18">
        <v>2656</v>
      </c>
      <c r="L27" s="18">
        <f t="shared" si="14"/>
        <v>80.966666666666669</v>
      </c>
      <c r="M27" s="43">
        <f>AM24341+O27+P27+Q27+R27+S27+T27+U27+V27+W27+X27+Y27+Z27+AA27+AB27+AC27+AD27+AE27+AF27+AG27+AH27+AJ27+AK27+AL27+AM27+AN27+AO27</f>
        <v>2429</v>
      </c>
      <c r="N27" s="45">
        <v>117</v>
      </c>
      <c r="O27" s="18">
        <v>74</v>
      </c>
      <c r="P27" s="18">
        <v>97</v>
      </c>
      <c r="Q27" s="18">
        <v>38</v>
      </c>
      <c r="R27" s="44">
        <v>89</v>
      </c>
      <c r="S27" s="18">
        <v>148</v>
      </c>
      <c r="T27" s="18">
        <v>111</v>
      </c>
      <c r="U27" s="18">
        <v>83</v>
      </c>
      <c r="V27" s="44">
        <v>104</v>
      </c>
      <c r="W27" s="60">
        <v>133</v>
      </c>
      <c r="X27" s="70">
        <v>53</v>
      </c>
      <c r="Y27" s="70">
        <v>103</v>
      </c>
      <c r="Z27" s="85">
        <v>97</v>
      </c>
      <c r="AA27" s="85">
        <v>109</v>
      </c>
      <c r="AB27" s="92">
        <v>107</v>
      </c>
      <c r="AC27" s="70">
        <v>102</v>
      </c>
      <c r="AD27" s="70">
        <v>133</v>
      </c>
      <c r="AE27" s="70">
        <v>47</v>
      </c>
      <c r="AF27" s="70">
        <v>100</v>
      </c>
      <c r="AG27" s="70">
        <v>108</v>
      </c>
      <c r="AH27" s="70">
        <v>101</v>
      </c>
      <c r="AI27" s="70">
        <v>100</v>
      </c>
      <c r="AJ27" s="70">
        <v>85</v>
      </c>
      <c r="AK27" s="70">
        <v>110</v>
      </c>
      <c r="AL27" s="70">
        <v>27</v>
      </c>
      <c r="AM27" s="70">
        <v>85</v>
      </c>
      <c r="AN27" s="70">
        <v>107</v>
      </c>
      <c r="AO27" s="70">
        <v>78</v>
      </c>
      <c r="AP27" s="22" t="s">
        <v>22</v>
      </c>
      <c r="AQ27" s="70">
        <f t="shared" si="3"/>
        <v>94</v>
      </c>
      <c r="AR27" s="70">
        <f t="shared" si="16"/>
        <v>846</v>
      </c>
      <c r="AS27" s="70">
        <v>127</v>
      </c>
      <c r="AT27" s="70">
        <v>60</v>
      </c>
      <c r="AU27" s="70">
        <v>105</v>
      </c>
      <c r="AV27" s="70">
        <v>37</v>
      </c>
      <c r="AW27" s="70">
        <v>91</v>
      </c>
      <c r="AX27" s="70">
        <v>86</v>
      </c>
      <c r="AY27" s="70">
        <v>118</v>
      </c>
      <c r="AZ27" s="70">
        <v>132</v>
      </c>
      <c r="BA27" s="70">
        <v>90</v>
      </c>
      <c r="BB27" s="70"/>
      <c r="BC27" s="70"/>
    </row>
    <row r="28" spans="1:55" ht="15">
      <c r="A28" s="18">
        <f>+B28/30</f>
        <v>38.466666666666669</v>
      </c>
      <c r="B28" s="18">
        <v>1154</v>
      </c>
      <c r="C28" s="18">
        <f>+D28/31</f>
        <v>39.935483870967744</v>
      </c>
      <c r="D28" s="18">
        <v>1238</v>
      </c>
      <c r="E28" s="18">
        <f>+F28/30</f>
        <v>40.799999999999997</v>
      </c>
      <c r="F28" s="18">
        <v>1224</v>
      </c>
      <c r="G28" s="18">
        <f>+H28/31</f>
        <v>39.677419354838712</v>
      </c>
      <c r="H28" s="18">
        <v>1230</v>
      </c>
      <c r="I28" s="22" t="s">
        <v>23</v>
      </c>
      <c r="J28" s="18">
        <v>35.838709677419352</v>
      </c>
      <c r="K28" s="18">
        <v>1111</v>
      </c>
      <c r="L28" s="18">
        <f t="shared" si="14"/>
        <v>38.43333333333333</v>
      </c>
      <c r="M28" s="43">
        <f>141+O28+P28+Q28+R28+S28+T28+U28+V28+W28+X28+Y28+Z28+AA28+AB28+AC28+AD28+AE28+AF28+AG28+AH28+AI28+AJ28+AK28+AL28+AM28+AN28+AO28</f>
        <v>1153</v>
      </c>
      <c r="N28" s="45">
        <v>61</v>
      </c>
      <c r="O28" s="18">
        <v>1</v>
      </c>
      <c r="P28" s="18">
        <v>67</v>
      </c>
      <c r="Q28" s="18">
        <v>4</v>
      </c>
      <c r="R28" s="44">
        <v>57</v>
      </c>
      <c r="S28" s="18">
        <v>38</v>
      </c>
      <c r="T28" s="18">
        <v>49</v>
      </c>
      <c r="U28" s="18">
        <v>48</v>
      </c>
      <c r="V28" s="44">
        <v>25</v>
      </c>
      <c r="W28" s="60">
        <v>43</v>
      </c>
      <c r="X28" s="70">
        <v>2</v>
      </c>
      <c r="Y28" s="70">
        <v>46</v>
      </c>
      <c r="Z28" s="85">
        <v>48</v>
      </c>
      <c r="AA28" s="85">
        <v>39</v>
      </c>
      <c r="AB28" s="92">
        <v>33</v>
      </c>
      <c r="AC28" s="70">
        <v>46</v>
      </c>
      <c r="AD28" s="70">
        <v>68</v>
      </c>
      <c r="AE28" s="70">
        <v>2</v>
      </c>
      <c r="AF28" s="70">
        <v>39</v>
      </c>
      <c r="AG28" s="70">
        <v>31</v>
      </c>
      <c r="AH28" s="70">
        <v>42</v>
      </c>
      <c r="AI28" s="70">
        <v>42</v>
      </c>
      <c r="AJ28" s="70">
        <v>42</v>
      </c>
      <c r="AK28" s="70">
        <v>55</v>
      </c>
      <c r="AL28" s="70">
        <v>3</v>
      </c>
      <c r="AM28" s="70">
        <v>51</v>
      </c>
      <c r="AN28" s="70">
        <v>51</v>
      </c>
      <c r="AO28" s="70">
        <v>40</v>
      </c>
      <c r="AP28" s="22" t="s">
        <v>23</v>
      </c>
      <c r="AQ28" s="113">
        <f t="shared" si="3"/>
        <v>42.333333333333336</v>
      </c>
      <c r="AR28" s="70">
        <f t="shared" si="16"/>
        <v>381</v>
      </c>
      <c r="AS28" s="70">
        <v>52</v>
      </c>
      <c r="AT28" s="70">
        <v>54</v>
      </c>
      <c r="AU28" s="70">
        <v>62</v>
      </c>
      <c r="AV28" s="70">
        <v>3</v>
      </c>
      <c r="AW28" s="70">
        <v>47</v>
      </c>
      <c r="AX28" s="70">
        <v>42</v>
      </c>
      <c r="AY28" s="70">
        <v>40</v>
      </c>
      <c r="AZ28" s="70">
        <v>34</v>
      </c>
      <c r="BA28" s="70">
        <v>47</v>
      </c>
      <c r="BB28" s="70"/>
      <c r="BC28" s="70"/>
    </row>
    <row r="29" spans="1:55" ht="15">
      <c r="A29" s="18">
        <f>+B29/30</f>
        <v>26.766666666666666</v>
      </c>
      <c r="B29" s="18">
        <v>803</v>
      </c>
      <c r="C29" s="18">
        <f>+D29/31</f>
        <v>27.096774193548388</v>
      </c>
      <c r="D29" s="18">
        <v>840</v>
      </c>
      <c r="E29" s="18">
        <f>+F29/30</f>
        <v>31.633333333333333</v>
      </c>
      <c r="F29" s="18">
        <v>949</v>
      </c>
      <c r="G29" s="18">
        <f>+H29/31</f>
        <v>31.419354838709676</v>
      </c>
      <c r="H29" s="18">
        <v>974</v>
      </c>
      <c r="I29" s="22" t="s">
        <v>24</v>
      </c>
      <c r="J29" s="18">
        <v>26.903225806451612</v>
      </c>
      <c r="K29" s="18">
        <v>834</v>
      </c>
      <c r="L29" s="18">
        <f t="shared" si="14"/>
        <v>30.266666666666666</v>
      </c>
      <c r="M29" s="43">
        <f>N29+P29+Q29+R29+S29+T29+U29+V29+W29+Y29+Z29+AA29+AB29+AC29+AD29+AE29+AF29+AG29+AH29+AI29+AJ29+AK29+AL29+AM29+AN29+AO29</f>
        <v>908</v>
      </c>
      <c r="N29" s="45">
        <v>48</v>
      </c>
      <c r="O29" s="18"/>
      <c r="P29" s="18">
        <v>44</v>
      </c>
      <c r="Q29" s="18"/>
      <c r="R29" s="44">
        <v>50</v>
      </c>
      <c r="S29" s="18">
        <v>37</v>
      </c>
      <c r="T29" s="18">
        <v>37</v>
      </c>
      <c r="U29" s="18">
        <v>44</v>
      </c>
      <c r="V29" s="44">
        <v>25</v>
      </c>
      <c r="W29" s="60">
        <v>29</v>
      </c>
      <c r="X29" s="70"/>
      <c r="Y29" s="70">
        <v>53</v>
      </c>
      <c r="Z29" s="85">
        <v>32</v>
      </c>
      <c r="AA29" s="85">
        <v>34</v>
      </c>
      <c r="AB29" s="92">
        <v>43</v>
      </c>
      <c r="AC29" s="70">
        <v>31</v>
      </c>
      <c r="AD29" s="70">
        <v>38</v>
      </c>
      <c r="AE29" s="70">
        <v>1</v>
      </c>
      <c r="AF29" s="70">
        <v>38</v>
      </c>
      <c r="AG29" s="70">
        <v>52</v>
      </c>
      <c r="AH29" s="70">
        <v>34</v>
      </c>
      <c r="AI29" s="70">
        <v>38</v>
      </c>
      <c r="AJ29" s="70">
        <v>31</v>
      </c>
      <c r="AK29" s="70">
        <v>44</v>
      </c>
      <c r="AL29" s="70">
        <v>1</v>
      </c>
      <c r="AM29" s="70">
        <v>41</v>
      </c>
      <c r="AN29" s="70">
        <v>35</v>
      </c>
      <c r="AO29" s="70">
        <v>48</v>
      </c>
      <c r="AP29" s="22" t="s">
        <v>24</v>
      </c>
      <c r="AQ29" s="70">
        <f t="shared" si="3"/>
        <v>32</v>
      </c>
      <c r="AR29" s="70">
        <f t="shared" si="16"/>
        <v>288</v>
      </c>
      <c r="AS29" s="70">
        <v>46</v>
      </c>
      <c r="AT29" s="70">
        <v>2</v>
      </c>
      <c r="AU29" s="70">
        <v>40</v>
      </c>
      <c r="AV29" s="70"/>
      <c r="AW29" s="70">
        <v>42</v>
      </c>
      <c r="AX29" s="70">
        <v>41</v>
      </c>
      <c r="AY29" s="70">
        <v>29</v>
      </c>
      <c r="AZ29" s="70">
        <v>42</v>
      </c>
      <c r="BA29" s="70">
        <v>46</v>
      </c>
      <c r="BB29" s="70"/>
      <c r="BC29" s="70"/>
    </row>
    <row r="30" spans="1:55" ht="15">
      <c r="A30" s="18">
        <f>+B30/30</f>
        <v>0.8666666666666667</v>
      </c>
      <c r="B30" s="18">
        <v>26</v>
      </c>
      <c r="C30" s="18">
        <f>+D30/31</f>
        <v>0.67741935483870963</v>
      </c>
      <c r="D30" s="18">
        <v>21</v>
      </c>
      <c r="E30" s="18">
        <f>+F30/30</f>
        <v>0.3</v>
      </c>
      <c r="F30" s="18">
        <v>9</v>
      </c>
      <c r="G30" s="18">
        <f>+H30/31</f>
        <v>0.12903225806451613</v>
      </c>
      <c r="H30" s="18">
        <v>4</v>
      </c>
      <c r="I30" s="22" t="s">
        <v>25</v>
      </c>
      <c r="J30" s="18">
        <v>0.22580645161290322</v>
      </c>
      <c r="K30" s="18">
        <v>7</v>
      </c>
      <c r="L30" s="18">
        <f t="shared" si="14"/>
        <v>3.8333333333333335</v>
      </c>
      <c r="M30" s="43">
        <f>110+T30+U30+V30+W30+AA30+AB30+AI30+AJ30+AM30</f>
        <v>115</v>
      </c>
      <c r="N30" s="45"/>
      <c r="O30" s="18"/>
      <c r="P30" s="18"/>
      <c r="Q30" s="18"/>
      <c r="R30" s="44"/>
      <c r="S30" s="18"/>
      <c r="T30" s="18">
        <v>2</v>
      </c>
      <c r="U30" s="7"/>
      <c r="V30" s="58"/>
      <c r="W30" s="60"/>
      <c r="X30" s="70"/>
      <c r="Y30" s="70"/>
      <c r="Z30" s="53"/>
      <c r="AA30" s="18">
        <v>2</v>
      </c>
      <c r="AB30" s="92"/>
      <c r="AC30" s="70"/>
      <c r="AD30" s="70"/>
      <c r="AE30" s="70"/>
      <c r="AF30" s="70"/>
      <c r="AG30" s="70"/>
      <c r="AH30" s="70"/>
      <c r="AI30" s="70">
        <v>0</v>
      </c>
      <c r="AJ30" s="70"/>
      <c r="AK30" s="70"/>
      <c r="AL30" s="70"/>
      <c r="AM30" s="70">
        <v>1</v>
      </c>
      <c r="AN30" s="70"/>
      <c r="AO30" s="70"/>
      <c r="AP30" s="22" t="s">
        <v>25</v>
      </c>
      <c r="AQ30" s="113">
        <f t="shared" si="3"/>
        <v>0.33333333333333331</v>
      </c>
      <c r="AR30" s="70">
        <f t="shared" si="16"/>
        <v>3</v>
      </c>
      <c r="AS30" s="70"/>
      <c r="AT30" s="70">
        <v>1</v>
      </c>
      <c r="AU30" s="70"/>
      <c r="AV30" s="70"/>
      <c r="AW30" s="70"/>
      <c r="AX30" s="70">
        <v>1</v>
      </c>
      <c r="AY30" s="70">
        <v>1</v>
      </c>
      <c r="AZ30" s="70"/>
      <c r="BA30" s="70"/>
      <c r="BB30" s="70"/>
      <c r="BC30" s="70"/>
    </row>
    <row r="31" spans="1:55" ht="15">
      <c r="A31" s="23">
        <f>+B31/30</f>
        <v>2.7666666666666666</v>
      </c>
      <c r="B31" s="23">
        <v>83</v>
      </c>
      <c r="C31" s="23">
        <f>+D31/31</f>
        <v>3.6129032258064515</v>
      </c>
      <c r="D31" s="23">
        <v>112</v>
      </c>
      <c r="E31" s="23">
        <f>+F31/30</f>
        <v>2.5666666666666669</v>
      </c>
      <c r="F31" s="23">
        <v>77</v>
      </c>
      <c r="G31" s="23">
        <f>+H31/31</f>
        <v>3.7419354838709675</v>
      </c>
      <c r="H31" s="23">
        <v>116</v>
      </c>
      <c r="I31" s="24" t="s">
        <v>31</v>
      </c>
      <c r="J31" s="23">
        <v>2.5806451612903225</v>
      </c>
      <c r="K31" s="23">
        <v>80</v>
      </c>
      <c r="L31" s="23">
        <f t="shared" si="14"/>
        <v>3.2666666666666666</v>
      </c>
      <c r="M31" s="73">
        <f>14+O31+P31+Q31+R31+S31+T31+U31+V31+W31+Y30:Y31+AA31+AB31+AD31+AF31+AG31+AH31+AI31+AJ31+AM31+AN31+AO31</f>
        <v>98</v>
      </c>
      <c r="N31" s="56">
        <v>4</v>
      </c>
      <c r="O31" s="23">
        <v>2</v>
      </c>
      <c r="P31" s="23">
        <v>8</v>
      </c>
      <c r="Q31" s="23">
        <v>1</v>
      </c>
      <c r="R31" s="61">
        <v>10</v>
      </c>
      <c r="S31" s="23">
        <v>4</v>
      </c>
      <c r="T31" s="23">
        <v>1</v>
      </c>
      <c r="U31" s="23">
        <v>3</v>
      </c>
      <c r="V31" s="61">
        <v>1</v>
      </c>
      <c r="W31" s="80">
        <v>3</v>
      </c>
      <c r="X31" s="74"/>
      <c r="Y31" s="74">
        <v>9</v>
      </c>
      <c r="Z31" s="78"/>
      <c r="AA31" s="23">
        <v>3</v>
      </c>
      <c r="AB31" s="61">
        <v>5</v>
      </c>
      <c r="AC31" s="23"/>
      <c r="AD31" s="23">
        <v>1</v>
      </c>
      <c r="AE31" s="23"/>
      <c r="AF31" s="23">
        <v>2</v>
      </c>
      <c r="AG31" s="23">
        <v>6</v>
      </c>
      <c r="AH31" s="23">
        <v>2</v>
      </c>
      <c r="AI31" s="23">
        <v>5</v>
      </c>
      <c r="AJ31" s="23">
        <v>3</v>
      </c>
      <c r="AK31" s="23">
        <v>9</v>
      </c>
      <c r="AL31" s="23"/>
      <c r="AM31" s="23">
        <v>6</v>
      </c>
      <c r="AN31" s="23">
        <v>6</v>
      </c>
      <c r="AO31" s="23">
        <v>3</v>
      </c>
      <c r="AP31" s="24" t="s">
        <v>31</v>
      </c>
      <c r="AQ31" s="73">
        <f t="shared" si="3"/>
        <v>4.2222222222222223</v>
      </c>
      <c r="AR31" s="23">
        <f t="shared" si="16"/>
        <v>38</v>
      </c>
      <c r="AS31" s="23">
        <v>11</v>
      </c>
      <c r="AT31" s="23">
        <v>3</v>
      </c>
      <c r="AU31" s="23">
        <v>1</v>
      </c>
      <c r="AV31" s="23"/>
      <c r="AW31" s="23">
        <v>6</v>
      </c>
      <c r="AX31" s="23">
        <v>3</v>
      </c>
      <c r="AY31" s="23">
        <v>4</v>
      </c>
      <c r="AZ31" s="23">
        <v>7</v>
      </c>
      <c r="BA31" s="23">
        <v>3</v>
      </c>
      <c r="BB31" s="23"/>
      <c r="BC31" s="23"/>
    </row>
    <row r="32" spans="1:55" ht="15">
      <c r="A32" s="18"/>
      <c r="B32" s="18"/>
      <c r="C32" s="18"/>
      <c r="D32" s="18"/>
      <c r="E32" s="18"/>
      <c r="F32" s="18"/>
      <c r="G32" s="18"/>
      <c r="H32" s="18"/>
      <c r="I32" s="20"/>
      <c r="J32" s="18"/>
      <c r="K32" s="18"/>
      <c r="L32" s="18"/>
      <c r="M32" s="18"/>
      <c r="N32" s="45"/>
      <c r="O32" s="18"/>
      <c r="P32" s="18"/>
      <c r="Q32" s="18"/>
      <c r="R32" s="58"/>
      <c r="S32" s="7"/>
      <c r="T32" s="7"/>
      <c r="U32" s="7"/>
      <c r="V32" s="58"/>
      <c r="W32" s="58"/>
      <c r="X32" s="7"/>
      <c r="Y32" s="70"/>
      <c r="Z32" s="53"/>
      <c r="AA32" s="53"/>
      <c r="AB32" s="90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20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ht="15">
      <c r="A33" s="18">
        <f>+B33/30</f>
        <v>22.033333333333335</v>
      </c>
      <c r="B33" s="18">
        <v>661</v>
      </c>
      <c r="C33" s="18">
        <f>+D33/31</f>
        <v>21.258064516129032</v>
      </c>
      <c r="D33" s="18">
        <v>659</v>
      </c>
      <c r="E33" s="18">
        <f>+F33/30</f>
        <v>23.4</v>
      </c>
      <c r="F33" s="18">
        <v>702</v>
      </c>
      <c r="G33" s="18">
        <v>22.06451612903226</v>
      </c>
      <c r="H33" s="18">
        <v>684</v>
      </c>
      <c r="I33" s="20" t="s">
        <v>32</v>
      </c>
      <c r="J33" s="18">
        <v>20.903225806451612</v>
      </c>
      <c r="K33" s="18">
        <v>648</v>
      </c>
      <c r="L33" s="18">
        <f>M33/30</f>
        <v>24.366666666666667</v>
      </c>
      <c r="M33" s="43">
        <f>105+O33+P33+Q33+R33+S33+T33+U33+V33+W33+X33+Y33+Z33+AA33+AB33+AC33+AD33+AE33+AF33+AG33+AH33+AI33+AJ33+AK33+AL33+AM33+AN33</f>
        <v>731</v>
      </c>
      <c r="N33" s="45">
        <v>34</v>
      </c>
      <c r="O33" s="18">
        <v>9</v>
      </c>
      <c r="P33" s="18">
        <v>39</v>
      </c>
      <c r="Q33" s="18">
        <v>9</v>
      </c>
      <c r="R33" s="44">
        <v>44</v>
      </c>
      <c r="S33" s="18">
        <v>48</v>
      </c>
      <c r="T33" s="18">
        <v>18</v>
      </c>
      <c r="U33" s="18">
        <v>13</v>
      </c>
      <c r="V33" s="44">
        <v>22</v>
      </c>
      <c r="W33" s="44">
        <v>18</v>
      </c>
      <c r="X33" s="18">
        <v>7</v>
      </c>
      <c r="Y33" s="18">
        <v>38</v>
      </c>
      <c r="Z33" s="45">
        <v>30</v>
      </c>
      <c r="AA33" s="45">
        <v>28</v>
      </c>
      <c r="AB33" s="91">
        <v>21</v>
      </c>
      <c r="AC33" s="18">
        <v>24</v>
      </c>
      <c r="AD33" s="18">
        <v>23</v>
      </c>
      <c r="AE33" s="18">
        <v>7</v>
      </c>
      <c r="AF33" s="18">
        <v>31</v>
      </c>
      <c r="AG33" s="18">
        <v>30</v>
      </c>
      <c r="AH33" s="18">
        <v>23</v>
      </c>
      <c r="AI33" s="18">
        <v>25</v>
      </c>
      <c r="AJ33" s="18">
        <v>20</v>
      </c>
      <c r="AK33" s="18">
        <v>33</v>
      </c>
      <c r="AL33" s="18">
        <v>2</v>
      </c>
      <c r="AM33" s="18">
        <v>31</v>
      </c>
      <c r="AN33" s="18">
        <v>33</v>
      </c>
      <c r="AO33" s="18">
        <v>18</v>
      </c>
      <c r="AP33" s="20" t="s">
        <v>32</v>
      </c>
      <c r="AQ33" s="43">
        <f>AR33/9</f>
        <v>25.333333333333332</v>
      </c>
      <c r="AR33" s="18">
        <f>AS33+AT33+AU33+AV33+AW33++AX33+AY33+AZ33+BA33</f>
        <v>228</v>
      </c>
      <c r="AS33" s="18">
        <v>30</v>
      </c>
      <c r="AT33" s="18">
        <v>8</v>
      </c>
      <c r="AU33" s="18">
        <v>40</v>
      </c>
      <c r="AV33" s="18">
        <v>9</v>
      </c>
      <c r="AW33" s="18">
        <v>35</v>
      </c>
      <c r="AX33" s="18">
        <v>23</v>
      </c>
      <c r="AY33" s="18">
        <v>29</v>
      </c>
      <c r="AZ33" s="18">
        <v>33</v>
      </c>
      <c r="BA33" s="18">
        <v>21</v>
      </c>
      <c r="BB33" s="18"/>
      <c r="BC33" s="18"/>
    </row>
    <row r="34" spans="1:55" ht="15">
      <c r="A34" s="18"/>
      <c r="B34" s="18"/>
      <c r="C34" s="18"/>
      <c r="D34" s="18"/>
      <c r="E34" s="18"/>
      <c r="F34" s="18"/>
      <c r="G34" s="18"/>
      <c r="H34" s="18"/>
      <c r="I34" s="20"/>
      <c r="J34" s="18"/>
      <c r="K34" s="18"/>
      <c r="L34" s="18"/>
      <c r="M34" s="18"/>
      <c r="N34" s="45"/>
      <c r="O34" s="18"/>
      <c r="P34" s="18"/>
      <c r="Q34" s="7"/>
      <c r="R34" s="58"/>
      <c r="S34" s="7"/>
      <c r="T34" s="7"/>
      <c r="U34" s="7"/>
      <c r="V34" s="58"/>
      <c r="W34" s="58"/>
      <c r="X34" s="7"/>
      <c r="Y34" s="7"/>
      <c r="Z34" s="53"/>
      <c r="AA34" s="53"/>
      <c r="AB34" s="90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20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</row>
    <row r="35" spans="1:55" ht="16.5">
      <c r="A35" s="16"/>
      <c r="B35" s="16"/>
      <c r="C35" s="16"/>
      <c r="D35" s="16"/>
      <c r="E35" s="16"/>
      <c r="F35" s="16"/>
      <c r="G35" s="16"/>
      <c r="H35" s="16"/>
      <c r="I35" s="25" t="s">
        <v>33</v>
      </c>
      <c r="J35" s="16"/>
      <c r="K35" s="16"/>
      <c r="L35" s="16"/>
      <c r="M35" s="16"/>
      <c r="N35" s="46"/>
      <c r="O35" s="16"/>
      <c r="P35" s="16"/>
      <c r="Q35" s="16"/>
      <c r="R35" s="58"/>
      <c r="S35" s="7"/>
      <c r="T35" s="7"/>
      <c r="U35" s="7"/>
      <c r="V35" s="58"/>
      <c r="W35" s="58"/>
      <c r="X35" s="7"/>
      <c r="Y35" s="7"/>
      <c r="Z35" s="53"/>
      <c r="AA35" s="53"/>
      <c r="AB35" s="90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25" t="s">
        <v>33</v>
      </c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ht="15.75">
      <c r="A36" s="16">
        <v>8067515.0363333281</v>
      </c>
      <c r="B36" s="16">
        <v>242025451.08999985</v>
      </c>
      <c r="C36" s="16">
        <v>8133995.8087096764</v>
      </c>
      <c r="D36" s="16">
        <v>252153870.06999996</v>
      </c>
      <c r="E36" s="16">
        <v>8860192.6769999955</v>
      </c>
      <c r="F36" s="16">
        <v>265805780.30999988</v>
      </c>
      <c r="G36" s="16">
        <v>8700384.6858064495</v>
      </c>
      <c r="H36" s="16">
        <v>269711925.25999993</v>
      </c>
      <c r="I36" s="9" t="s">
        <v>34</v>
      </c>
      <c r="J36" s="16">
        <v>7354617.8870967738</v>
      </c>
      <c r="K36" s="16">
        <v>227993154.5</v>
      </c>
      <c r="L36" s="16">
        <f>M36/30</f>
        <v>9109872.3463333324</v>
      </c>
      <c r="M36" s="42">
        <f>32928712.52+O36+P36+Q36+R36+S36+T36+U36+V36+W36+X36+Y36+Z36+AA36+AB36+AC36+AD36+AE36+AF36+AG36+AH36+AI36+AJ36+AK36+AL36+AM36+AN36+AO36</f>
        <v>273296170.38999999</v>
      </c>
      <c r="N36" s="46">
        <v>11569555.689999996</v>
      </c>
      <c r="O36" s="16">
        <v>931799</v>
      </c>
      <c r="P36" s="16">
        <v>8495831</v>
      </c>
      <c r="Q36" s="16">
        <v>387603</v>
      </c>
      <c r="R36" s="62">
        <v>13934121.310000001</v>
      </c>
      <c r="S36" s="11">
        <v>12766568.67</v>
      </c>
      <c r="T36" s="11">
        <v>11191494</v>
      </c>
      <c r="U36" s="11">
        <v>11537568</v>
      </c>
      <c r="V36" s="62">
        <v>11236797</v>
      </c>
      <c r="W36" s="58">
        <v>7900135.9299999997</v>
      </c>
      <c r="X36" s="7">
        <v>384470</v>
      </c>
      <c r="Y36" s="11">
        <v>13901486</v>
      </c>
      <c r="Z36" s="53">
        <v>11726826.630000001</v>
      </c>
      <c r="AA36" s="53">
        <v>10937605.210000001</v>
      </c>
      <c r="AB36" s="90">
        <v>11212200.5</v>
      </c>
      <c r="AC36" s="7">
        <v>9377476</v>
      </c>
      <c r="AD36" s="7">
        <v>8069304</v>
      </c>
      <c r="AE36" s="7">
        <v>338044</v>
      </c>
      <c r="AF36" s="7">
        <v>13144158</v>
      </c>
      <c r="AG36" s="7">
        <v>12119392</v>
      </c>
      <c r="AH36" s="7">
        <v>11338554</v>
      </c>
      <c r="AI36" s="7">
        <v>12189791</v>
      </c>
      <c r="AJ36" s="7">
        <v>8722647.6500000004</v>
      </c>
      <c r="AK36" s="7">
        <v>6235095.2400000002</v>
      </c>
      <c r="AL36" s="7">
        <v>316603.21999999997</v>
      </c>
      <c r="AM36" s="7">
        <v>10089493.73</v>
      </c>
      <c r="AN36" s="7">
        <v>11767638.51</v>
      </c>
      <c r="AO36" s="7">
        <v>10114754.27</v>
      </c>
      <c r="AP36" s="9" t="s">
        <v>34</v>
      </c>
      <c r="AQ36" s="111">
        <f>AR36/9</f>
        <v>8329120.1111111129</v>
      </c>
      <c r="AR36" s="7">
        <f>AS36+AT36+AU36+AV36+AW36+AX36+AY36+AZ36+BA36</f>
        <v>74962081.000000015</v>
      </c>
      <c r="AS36" s="7">
        <v>10354688.780000003</v>
      </c>
      <c r="AT36" s="7">
        <v>892027</v>
      </c>
      <c r="AU36" s="7">
        <v>7531751.1299999999</v>
      </c>
      <c r="AV36" s="7">
        <v>448035</v>
      </c>
      <c r="AW36" s="7">
        <v>12559361.310000001</v>
      </c>
      <c r="AX36" s="7">
        <v>11856774.710000001</v>
      </c>
      <c r="AY36" s="7">
        <v>11071855.449999999</v>
      </c>
      <c r="AZ36" s="7">
        <v>11053828.560000001</v>
      </c>
      <c r="BA36" s="7">
        <v>9193759.0599999968</v>
      </c>
      <c r="BB36" s="7">
        <v>6853828.8899999987</v>
      </c>
      <c r="BC36" s="7">
        <v>480527</v>
      </c>
    </row>
    <row r="37" spans="1:55" ht="15.75">
      <c r="A37" s="16">
        <v>18714605.412999984</v>
      </c>
      <c r="B37" s="16">
        <v>561438162.38999951</v>
      </c>
      <c r="C37" s="16">
        <v>18232225.897096816</v>
      </c>
      <c r="D37" s="16">
        <v>565199002.81000125</v>
      </c>
      <c r="E37" s="16">
        <v>19367494.242333319</v>
      </c>
      <c r="F37" s="16">
        <v>581024827.26999962</v>
      </c>
      <c r="G37" s="16">
        <v>19273421.497419301</v>
      </c>
      <c r="H37" s="16">
        <v>597476066.41999829</v>
      </c>
      <c r="I37" s="9" t="s">
        <v>35</v>
      </c>
      <c r="J37" s="16">
        <v>18188621.829032261</v>
      </c>
      <c r="K37" s="16">
        <v>563847276.70000005</v>
      </c>
      <c r="L37" s="16">
        <f>M37/30</f>
        <v>21155540.546999998</v>
      </c>
      <c r="M37" s="42">
        <f>70621527.5299999+O37+P37+Q37+R37+S37+T37+U37+V37+W37+X37+Y37+Z37+AA37+AB37+AC37+AD37+AE37+AF37+AG37+AH37+AI37+AJ37+AK37+AL37+AM37+AN37+AO37</f>
        <v>634666216.40999997</v>
      </c>
      <c r="N37" s="46">
        <v>26487951.189999994</v>
      </c>
      <c r="O37" s="16">
        <v>6477446.2199999997</v>
      </c>
      <c r="P37" s="16">
        <v>26697606</v>
      </c>
      <c r="Q37" s="16">
        <v>7836797.8499999996</v>
      </c>
      <c r="R37" s="58">
        <v>32161130.960000027</v>
      </c>
      <c r="S37" s="11">
        <v>25995028.219999999</v>
      </c>
      <c r="T37" s="11">
        <v>17593537.59</v>
      </c>
      <c r="U37" s="11">
        <v>21335517.260000002</v>
      </c>
      <c r="V37" s="62">
        <v>21120488</v>
      </c>
      <c r="W37" s="58">
        <v>24977961.309999999</v>
      </c>
      <c r="X37" s="7">
        <v>4778610</v>
      </c>
      <c r="Y37" s="11">
        <v>27545633</v>
      </c>
      <c r="Z37" s="53">
        <v>28476126.309999999</v>
      </c>
      <c r="AA37" s="53">
        <v>21586227.879999999</v>
      </c>
      <c r="AB37" s="90">
        <v>23013598.489999998</v>
      </c>
      <c r="AC37" s="7">
        <v>20997763.73</v>
      </c>
      <c r="AD37" s="7">
        <v>25305902</v>
      </c>
      <c r="AE37" s="7">
        <v>6666932</v>
      </c>
      <c r="AF37" s="7">
        <v>24272603</v>
      </c>
      <c r="AG37" s="7">
        <v>23635459</v>
      </c>
      <c r="AH37" s="7">
        <v>19327175</v>
      </c>
      <c r="AI37" s="7">
        <v>23811547</v>
      </c>
      <c r="AJ37" s="7">
        <v>21183271.170000002</v>
      </c>
      <c r="AK37" s="7">
        <v>27792286</v>
      </c>
      <c r="AL37" s="7">
        <v>2509874.98</v>
      </c>
      <c r="AM37" s="7">
        <v>29090915.16</v>
      </c>
      <c r="AN37" s="7">
        <v>30302155.379999999</v>
      </c>
      <c r="AO37" s="7">
        <v>19553095.370000001</v>
      </c>
      <c r="AP37" s="9" t="s">
        <v>35</v>
      </c>
      <c r="AQ37" s="7">
        <f>AR37/9</f>
        <v>22020106.804444443</v>
      </c>
      <c r="AR37" s="7">
        <f>AS37+AT37+AU37+AV37+AW37+AX37+AY37+AZ37+BA37</f>
        <v>198180961.23999998</v>
      </c>
      <c r="AS37" s="7">
        <v>29074869.349999975</v>
      </c>
      <c r="AT37" s="7">
        <v>5848969</v>
      </c>
      <c r="AU37" s="7">
        <v>34941849.340000004</v>
      </c>
      <c r="AV37" s="7">
        <v>6300767</v>
      </c>
      <c r="AW37" s="7">
        <v>26060718.629999999</v>
      </c>
      <c r="AX37" s="7">
        <v>30885392.199999999</v>
      </c>
      <c r="AY37" s="7">
        <v>18530213.949999999</v>
      </c>
      <c r="AZ37" s="7">
        <v>20374809.600000001</v>
      </c>
      <c r="BA37" s="7">
        <v>26163372.170000006</v>
      </c>
      <c r="BB37" s="7">
        <v>32777883.310000014</v>
      </c>
      <c r="BC37" s="7">
        <v>3952320.2599999993</v>
      </c>
    </row>
    <row r="38" spans="1:55" ht="16.5">
      <c r="A38" s="26">
        <f t="shared" ref="A38:H38" si="18">SUM(A36:A37)</f>
        <v>26782120.44933331</v>
      </c>
      <c r="B38" s="26">
        <f t="shared" si="18"/>
        <v>803463613.4799993</v>
      </c>
      <c r="C38" s="26">
        <f t="shared" si="18"/>
        <v>26366221.705806494</v>
      </c>
      <c r="D38" s="26">
        <f t="shared" si="18"/>
        <v>817352872.88000119</v>
      </c>
      <c r="E38" s="26">
        <f t="shared" si="18"/>
        <v>28227686.919333316</v>
      </c>
      <c r="F38" s="26">
        <f t="shared" si="18"/>
        <v>846830607.57999945</v>
      </c>
      <c r="G38" s="26">
        <f t="shared" si="18"/>
        <v>27973806.183225751</v>
      </c>
      <c r="H38" s="26">
        <f t="shared" si="18"/>
        <v>867187991.67999816</v>
      </c>
      <c r="I38" s="27" t="s">
        <v>36</v>
      </c>
      <c r="J38" s="26">
        <v>25543239.716129035</v>
      </c>
      <c r="K38" s="26">
        <v>791840431.20000005</v>
      </c>
      <c r="L38" s="26">
        <f>SUM(L36:L37)</f>
        <v>30265412.893333331</v>
      </c>
      <c r="M38" s="26">
        <f>M36+M37</f>
        <v>907962386.79999995</v>
      </c>
      <c r="N38" s="47">
        <f t="shared" ref="N38:AK38" si="19">SUM(N36:N37)</f>
        <v>38057506.879999988</v>
      </c>
      <c r="O38" s="26">
        <f t="shared" si="19"/>
        <v>7409245.2199999997</v>
      </c>
      <c r="P38" s="26">
        <f t="shared" si="19"/>
        <v>35193437</v>
      </c>
      <c r="Q38" s="26">
        <f t="shared" si="19"/>
        <v>8224400.8499999996</v>
      </c>
      <c r="R38" s="63">
        <f t="shared" si="19"/>
        <v>46095252.270000026</v>
      </c>
      <c r="S38" s="26">
        <f t="shared" si="19"/>
        <v>38761596.890000001</v>
      </c>
      <c r="T38" s="26">
        <f t="shared" si="19"/>
        <v>28785031.59</v>
      </c>
      <c r="U38" s="26">
        <f t="shared" si="19"/>
        <v>32873085.260000002</v>
      </c>
      <c r="V38" s="63">
        <f t="shared" si="19"/>
        <v>32357285</v>
      </c>
      <c r="W38" s="63">
        <f t="shared" si="19"/>
        <v>32878097.239999998</v>
      </c>
      <c r="X38" s="26">
        <f t="shared" si="19"/>
        <v>5163080</v>
      </c>
      <c r="Y38" s="26">
        <f t="shared" si="19"/>
        <v>41447119</v>
      </c>
      <c r="Z38" s="47">
        <f t="shared" si="19"/>
        <v>40202952.939999998</v>
      </c>
      <c r="AA38" s="47">
        <f t="shared" si="19"/>
        <v>32523833.09</v>
      </c>
      <c r="AB38" s="93">
        <f t="shared" si="19"/>
        <v>34225798.989999995</v>
      </c>
      <c r="AC38" s="26">
        <f t="shared" si="19"/>
        <v>30375239.73</v>
      </c>
      <c r="AD38" s="26">
        <f t="shared" si="19"/>
        <v>33375206</v>
      </c>
      <c r="AE38" s="26">
        <f t="shared" si="19"/>
        <v>7004976</v>
      </c>
      <c r="AF38" s="26">
        <f t="shared" si="19"/>
        <v>37416761</v>
      </c>
      <c r="AG38" s="26">
        <f t="shared" si="19"/>
        <v>35754851</v>
      </c>
      <c r="AH38" s="26">
        <f t="shared" si="19"/>
        <v>30665729</v>
      </c>
      <c r="AI38" s="26">
        <f t="shared" si="19"/>
        <v>36001338</v>
      </c>
      <c r="AJ38" s="26">
        <f t="shared" si="19"/>
        <v>29905918.82</v>
      </c>
      <c r="AK38" s="26">
        <f t="shared" si="19"/>
        <v>34027381.240000002</v>
      </c>
      <c r="AL38" s="26">
        <f>AL36+AL37</f>
        <v>2826478.2</v>
      </c>
      <c r="AM38" s="26">
        <f>AM36+AM37</f>
        <v>39180408.890000001</v>
      </c>
      <c r="AN38" s="26">
        <f>AN36+AN37</f>
        <v>42069793.890000001</v>
      </c>
      <c r="AO38" s="26">
        <f>AO36+AO37</f>
        <v>29667849.640000001</v>
      </c>
      <c r="AP38" s="27" t="s">
        <v>36</v>
      </c>
      <c r="AQ38" s="26">
        <f>SUM(AQ36:AQ37)</f>
        <v>30349226.915555555</v>
      </c>
      <c r="AR38" s="26">
        <f>SUM(AR36:AR37)</f>
        <v>273143042.24000001</v>
      </c>
      <c r="AS38" s="26">
        <f t="shared" ref="AS38:BC38" si="20">SUM(AS36:AS37)</f>
        <v>39429558.12999998</v>
      </c>
      <c r="AT38" s="26">
        <f t="shared" si="20"/>
        <v>6740996</v>
      </c>
      <c r="AU38" s="26">
        <f t="shared" si="20"/>
        <v>42473600.470000006</v>
      </c>
      <c r="AV38" s="26">
        <f t="shared" si="20"/>
        <v>6748802</v>
      </c>
      <c r="AW38" s="26">
        <f t="shared" si="20"/>
        <v>38620079.939999998</v>
      </c>
      <c r="AX38" s="26">
        <f t="shared" si="20"/>
        <v>42742166.909999996</v>
      </c>
      <c r="AY38" s="26">
        <f t="shared" si="20"/>
        <v>29602069.399999999</v>
      </c>
      <c r="AZ38" s="26">
        <f t="shared" si="20"/>
        <v>31428638.160000004</v>
      </c>
      <c r="BA38" s="26">
        <f t="shared" si="20"/>
        <v>35357131.230000004</v>
      </c>
      <c r="BB38" s="26">
        <f t="shared" si="20"/>
        <v>39631712.20000001</v>
      </c>
      <c r="BC38" s="26">
        <f t="shared" si="20"/>
        <v>4432847.26</v>
      </c>
    </row>
    <row r="39" spans="1:55" ht="15">
      <c r="A39" s="18"/>
      <c r="B39" s="18"/>
      <c r="C39" s="18"/>
      <c r="D39" s="18"/>
      <c r="E39" s="18"/>
      <c r="F39" s="18"/>
      <c r="G39" s="18"/>
      <c r="H39" s="18"/>
      <c r="I39" s="28"/>
      <c r="J39" s="18"/>
      <c r="K39" s="18"/>
      <c r="L39" s="18"/>
      <c r="M39" s="18"/>
      <c r="N39" s="45"/>
      <c r="O39" s="16"/>
      <c r="P39" s="16"/>
      <c r="Q39" s="16"/>
      <c r="R39" s="58"/>
      <c r="S39" s="7"/>
      <c r="T39" s="7"/>
      <c r="U39" s="7"/>
      <c r="V39" s="58"/>
      <c r="W39" s="58"/>
      <c r="X39" s="7"/>
      <c r="Y39" s="7"/>
      <c r="Z39" s="53"/>
      <c r="AA39" s="53"/>
      <c r="AB39" s="90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28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ht="16.5">
      <c r="A40" s="18"/>
      <c r="B40" s="18"/>
      <c r="C40" s="18"/>
      <c r="D40" s="18"/>
      <c r="E40" s="18"/>
      <c r="F40" s="18"/>
      <c r="G40" s="18"/>
      <c r="H40" s="18"/>
      <c r="I40" s="25" t="s">
        <v>33</v>
      </c>
      <c r="J40" s="18"/>
      <c r="K40" s="18"/>
      <c r="L40" s="18"/>
      <c r="M40" s="18"/>
      <c r="N40" s="45"/>
      <c r="O40" s="16"/>
      <c r="P40" s="16"/>
      <c r="Q40" s="16"/>
      <c r="R40" s="58"/>
      <c r="S40" s="7"/>
      <c r="T40" s="7"/>
      <c r="U40" s="7"/>
      <c r="V40" s="58"/>
      <c r="W40" s="58"/>
      <c r="X40" s="7"/>
      <c r="Y40" s="7"/>
      <c r="Z40" s="53"/>
      <c r="AA40" s="53"/>
      <c r="AB40" s="90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25" t="s">
        <v>33</v>
      </c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15">
      <c r="A41" s="18">
        <v>25392399.165333323</v>
      </c>
      <c r="B41" s="18">
        <v>761771974.95999956</v>
      </c>
      <c r="C41" s="18">
        <v>24526337.519354843</v>
      </c>
      <c r="D41" s="18">
        <v>760316463.10000014</v>
      </c>
      <c r="E41" s="18">
        <v>27273824.816666659</v>
      </c>
      <c r="F41" s="18">
        <v>815593454.90999985</v>
      </c>
      <c r="G41" s="18">
        <v>26485346.385161314</v>
      </c>
      <c r="H41" s="18">
        <v>821045737.94000077</v>
      </c>
      <c r="I41" s="19" t="s">
        <v>37</v>
      </c>
      <c r="J41" s="18">
        <v>24649277.208387092</v>
      </c>
      <c r="K41" s="18">
        <v>764127593.4599998</v>
      </c>
      <c r="L41" s="18">
        <f>M41/30</f>
        <v>28871736.167666666</v>
      </c>
      <c r="M41" s="43">
        <f>101784632.53+O41+P41+Q41+R41+S41+T41+U41+V41+W41+X41+Y41+Z41+AA41+AB41+AC41+AD41+AE41+AF41+AG41+AH41+AI41+AJ41+AK41+AL41+AM41+AN41+AO41</f>
        <v>866152085.02999997</v>
      </c>
      <c r="N41" s="45">
        <f>+N48+N52</f>
        <v>37849687.140000001</v>
      </c>
      <c r="O41" s="16">
        <v>6810358.2000000002</v>
      </c>
      <c r="P41" s="16">
        <v>33008017</v>
      </c>
      <c r="Q41" s="16">
        <v>8212930.8499999996</v>
      </c>
      <c r="R41" s="58">
        <v>43272785.509999998</v>
      </c>
      <c r="S41" s="7">
        <v>36187848</v>
      </c>
      <c r="T41" s="18">
        <v>27891787</v>
      </c>
      <c r="U41" s="18">
        <v>31916089</v>
      </c>
      <c r="V41" s="44">
        <v>31391342</v>
      </c>
      <c r="W41" s="60">
        <v>28998024.300000001</v>
      </c>
      <c r="X41" s="70">
        <v>4696855</v>
      </c>
      <c r="Y41" s="70">
        <v>38459143</v>
      </c>
      <c r="Z41" s="85">
        <v>38886152.479999997</v>
      </c>
      <c r="AA41" s="85">
        <v>32191704.719999999</v>
      </c>
      <c r="AB41" s="92">
        <v>33304451.609999999</v>
      </c>
      <c r="AC41" s="70">
        <v>29991116.579999998</v>
      </c>
      <c r="AD41" s="70">
        <v>32790994</v>
      </c>
      <c r="AE41" s="70">
        <v>7004736</v>
      </c>
      <c r="AF41" s="70">
        <v>35402080</v>
      </c>
      <c r="AG41" s="70">
        <v>31894569</v>
      </c>
      <c r="AH41" s="70">
        <v>30191570</v>
      </c>
      <c r="AI41" s="70">
        <v>34609354</v>
      </c>
      <c r="AJ41" s="70">
        <v>28105827.27</v>
      </c>
      <c r="AK41" s="70">
        <v>33228893.84</v>
      </c>
      <c r="AL41" s="70">
        <v>2826478</v>
      </c>
      <c r="AM41" s="70">
        <v>38153115.710000001</v>
      </c>
      <c r="AN41" s="70">
        <v>36367716.189999998</v>
      </c>
      <c r="AO41" s="70">
        <v>28573513.239999998</v>
      </c>
      <c r="AP41" s="19" t="s">
        <v>37</v>
      </c>
      <c r="AQ41" s="113">
        <f>AR41/9</f>
        <v>28723360.720000006</v>
      </c>
      <c r="AR41" s="70">
        <f>AS41+AT41+AU41+AV41+AW41+AX41+AY41+AZ41+BA41</f>
        <v>258510246.48000005</v>
      </c>
      <c r="AS41" s="70">
        <v>38747633.420000002</v>
      </c>
      <c r="AT41" s="70">
        <v>6736686</v>
      </c>
      <c r="AU41" s="70">
        <v>41402727.329999998</v>
      </c>
      <c r="AV41" s="70">
        <v>6719012</v>
      </c>
      <c r="AW41" s="70">
        <v>37962786.640000001</v>
      </c>
      <c r="AX41" s="70">
        <v>34501155.590000004</v>
      </c>
      <c r="AY41" s="70">
        <v>28446807.609999999</v>
      </c>
      <c r="AZ41" s="70">
        <v>29358178.469999999</v>
      </c>
      <c r="BA41" s="70">
        <v>34635259.420000009</v>
      </c>
      <c r="BB41" s="70">
        <v>35015262.18</v>
      </c>
      <c r="BC41" s="70">
        <v>4282111.9499999993</v>
      </c>
    </row>
    <row r="42" spans="1:55" ht="15">
      <c r="A42" s="18">
        <v>1389721.2840000002</v>
      </c>
      <c r="B42" s="18">
        <v>41691638.520000003</v>
      </c>
      <c r="C42" s="18">
        <v>1839884.186451613</v>
      </c>
      <c r="D42" s="18">
        <v>57036409.780000001</v>
      </c>
      <c r="E42" s="18">
        <v>937270.32399999991</v>
      </c>
      <c r="F42" s="18">
        <v>31237152.669999994</v>
      </c>
      <c r="G42" s="18">
        <v>1488459.7980645159</v>
      </c>
      <c r="H42" s="18">
        <v>46142253.739999995</v>
      </c>
      <c r="I42" s="19" t="s">
        <v>38</v>
      </c>
      <c r="J42" s="18">
        <v>893962.50612903212</v>
      </c>
      <c r="K42" s="18">
        <v>27712837.689999998</v>
      </c>
      <c r="L42" s="18">
        <f>M42/30</f>
        <v>1393676.6640000001</v>
      </c>
      <c r="M42" s="43">
        <f>1765607.52+O42+P42+Q42+R42+S42+T42+U42+V42+W42+X42+Y42+Z42+AA42+AB42+AC42+AD42+AE42+AF42+AG42+AH42+AI42+AJ42+AK42+AM42+AN42+AO42</f>
        <v>41810299.920000002</v>
      </c>
      <c r="N42" s="45">
        <f>+N49+N58</f>
        <v>207850</v>
      </c>
      <c r="O42" s="16">
        <v>598887</v>
      </c>
      <c r="P42" s="16">
        <v>2185420</v>
      </c>
      <c r="Q42" s="16">
        <v>11470</v>
      </c>
      <c r="R42" s="58">
        <v>2822466.76</v>
      </c>
      <c r="S42" s="11">
        <v>2573748.11</v>
      </c>
      <c r="T42" s="18">
        <v>893245</v>
      </c>
      <c r="U42" s="18">
        <v>956995</v>
      </c>
      <c r="V42" s="44">
        <v>965943</v>
      </c>
      <c r="W42" s="60">
        <v>3880072.94</v>
      </c>
      <c r="X42" s="70">
        <v>466225</v>
      </c>
      <c r="Y42" s="70">
        <v>2987976</v>
      </c>
      <c r="Z42" s="85">
        <v>1316800.46</v>
      </c>
      <c r="AA42" s="85">
        <v>332128.37</v>
      </c>
      <c r="AB42" s="92">
        <v>921347.38</v>
      </c>
      <c r="AC42" s="70">
        <v>384123.12</v>
      </c>
      <c r="AD42" s="70">
        <v>584212</v>
      </c>
      <c r="AE42" s="70">
        <v>240</v>
      </c>
      <c r="AF42" s="70">
        <v>2014681</v>
      </c>
      <c r="AG42" s="70">
        <v>3860282</v>
      </c>
      <c r="AH42" s="70">
        <v>474159</v>
      </c>
      <c r="AI42" s="70">
        <v>1391984</v>
      </c>
      <c r="AJ42" s="70">
        <v>1800091.55</v>
      </c>
      <c r="AK42" s="70">
        <v>798487.43</v>
      </c>
      <c r="AL42" s="70"/>
      <c r="AM42" s="70">
        <v>1027293.18</v>
      </c>
      <c r="AN42" s="70">
        <v>5702077.7000000002</v>
      </c>
      <c r="AO42" s="70">
        <v>1094336.3999999999</v>
      </c>
      <c r="AP42" s="19" t="s">
        <v>38</v>
      </c>
      <c r="AQ42" s="113">
        <f>AR42/9</f>
        <v>1625866.1955555556</v>
      </c>
      <c r="AR42" s="113">
        <f>AS42+AT42+AU42+AV42+AW42+AX42+AY42+AZ42+BA42</f>
        <v>14632795.760000002</v>
      </c>
      <c r="AS42" s="70">
        <v>681924.71</v>
      </c>
      <c r="AT42" s="70">
        <v>4310</v>
      </c>
      <c r="AU42" s="70">
        <v>1070873.1399999999</v>
      </c>
      <c r="AV42" s="70">
        <v>29790</v>
      </c>
      <c r="AW42" s="70">
        <v>657293.30000000005</v>
      </c>
      <c r="AX42" s="70">
        <v>8241011.3200000003</v>
      </c>
      <c r="AY42" s="70">
        <v>1155261.79</v>
      </c>
      <c r="AZ42" s="70">
        <v>2070459.69</v>
      </c>
      <c r="BA42" s="70">
        <v>721871.80999999994</v>
      </c>
      <c r="BB42" s="70">
        <v>4616450.0200000005</v>
      </c>
      <c r="BC42" s="70">
        <v>150735.31</v>
      </c>
    </row>
    <row r="43" spans="1:55" ht="16.5">
      <c r="A43" s="26">
        <f t="shared" ref="A43:H43" si="21">SUM(A41:A42)</f>
        <v>26782120.449333325</v>
      </c>
      <c r="B43" s="26">
        <f t="shared" si="21"/>
        <v>803463613.47999954</v>
      </c>
      <c r="C43" s="26">
        <f t="shared" si="21"/>
        <v>26366221.705806457</v>
      </c>
      <c r="D43" s="26">
        <f t="shared" si="21"/>
        <v>817352872.88000011</v>
      </c>
      <c r="E43" s="26">
        <f t="shared" si="21"/>
        <v>28211095.14066666</v>
      </c>
      <c r="F43" s="26">
        <f t="shared" si="21"/>
        <v>846830607.5799998</v>
      </c>
      <c r="G43" s="26">
        <f t="shared" si="21"/>
        <v>27973806.183225829</v>
      </c>
      <c r="H43" s="26">
        <f t="shared" si="21"/>
        <v>867187991.68000078</v>
      </c>
      <c r="I43" s="27" t="s">
        <v>36</v>
      </c>
      <c r="J43" s="26">
        <v>25543239.714516126</v>
      </c>
      <c r="K43" s="26">
        <v>791840431.14999986</v>
      </c>
      <c r="L43" s="26">
        <f>L41+L42</f>
        <v>30265412.831666667</v>
      </c>
      <c r="M43" s="26">
        <f>M41+M42</f>
        <v>907962384.94999993</v>
      </c>
      <c r="N43" s="47">
        <f t="shared" ref="N43:AK43" si="22">SUM(N41:N42)</f>
        <v>38057537.140000001</v>
      </c>
      <c r="O43" s="26">
        <f t="shared" si="22"/>
        <v>7409245.2000000002</v>
      </c>
      <c r="P43" s="26">
        <f t="shared" si="22"/>
        <v>35193437</v>
      </c>
      <c r="Q43" s="26">
        <f t="shared" si="22"/>
        <v>8224400.8499999996</v>
      </c>
      <c r="R43" s="63">
        <f t="shared" si="22"/>
        <v>46095252.269999996</v>
      </c>
      <c r="S43" s="26">
        <f t="shared" si="22"/>
        <v>38761596.109999999</v>
      </c>
      <c r="T43" s="26">
        <f t="shared" si="22"/>
        <v>28785032</v>
      </c>
      <c r="U43" s="26">
        <f t="shared" si="22"/>
        <v>32873084</v>
      </c>
      <c r="V43" s="63">
        <f t="shared" si="22"/>
        <v>32357285</v>
      </c>
      <c r="W43" s="63">
        <f t="shared" si="22"/>
        <v>32878097.240000002</v>
      </c>
      <c r="X43" s="26">
        <f t="shared" si="22"/>
        <v>5163080</v>
      </c>
      <c r="Y43" s="26">
        <f t="shared" si="22"/>
        <v>41447119</v>
      </c>
      <c r="Z43" s="47">
        <f t="shared" si="22"/>
        <v>40202952.939999998</v>
      </c>
      <c r="AA43" s="47">
        <f t="shared" si="22"/>
        <v>32523833.09</v>
      </c>
      <c r="AB43" s="93">
        <f t="shared" si="22"/>
        <v>34225798.990000002</v>
      </c>
      <c r="AC43" s="26">
        <f t="shared" si="22"/>
        <v>30375239.699999999</v>
      </c>
      <c r="AD43" s="26">
        <f t="shared" si="22"/>
        <v>33375206</v>
      </c>
      <c r="AE43" s="26">
        <f t="shared" si="22"/>
        <v>7004976</v>
      </c>
      <c r="AF43" s="26">
        <f t="shared" si="22"/>
        <v>37416761</v>
      </c>
      <c r="AG43" s="26">
        <f t="shared" si="22"/>
        <v>35754851</v>
      </c>
      <c r="AH43" s="26">
        <f t="shared" si="22"/>
        <v>30665729</v>
      </c>
      <c r="AI43" s="26">
        <f t="shared" si="22"/>
        <v>36001338</v>
      </c>
      <c r="AJ43" s="26">
        <f t="shared" si="22"/>
        <v>29905918.82</v>
      </c>
      <c r="AK43" s="26">
        <f t="shared" si="22"/>
        <v>34027381.270000003</v>
      </c>
      <c r="AL43" s="26">
        <f>AL41+AL42</f>
        <v>2826478</v>
      </c>
      <c r="AM43" s="26">
        <f>AM41+AM42</f>
        <v>39180408.890000001</v>
      </c>
      <c r="AN43" s="26">
        <f>AN41+AN42</f>
        <v>42069793.890000001</v>
      </c>
      <c r="AO43" s="26">
        <f>AO41+AO42</f>
        <v>29667849.639999997</v>
      </c>
      <c r="AP43" s="27" t="s">
        <v>36</v>
      </c>
      <c r="AQ43" s="26">
        <f>SUM(AQ41:AQ42)</f>
        <v>30349226.915555563</v>
      </c>
      <c r="AR43" s="26">
        <f>SUM(AR41:AR42)</f>
        <v>273143042.24000007</v>
      </c>
      <c r="AS43" s="26">
        <f t="shared" ref="AS43:BC43" si="23">SUM(AS41:AS42)</f>
        <v>39429558.130000003</v>
      </c>
      <c r="AT43" s="26">
        <f t="shared" si="23"/>
        <v>6740996</v>
      </c>
      <c r="AU43" s="26">
        <f t="shared" si="23"/>
        <v>42473600.469999999</v>
      </c>
      <c r="AV43" s="26">
        <f t="shared" si="23"/>
        <v>6748802</v>
      </c>
      <c r="AW43" s="26">
        <f t="shared" si="23"/>
        <v>38620079.939999998</v>
      </c>
      <c r="AX43" s="26">
        <f t="shared" si="23"/>
        <v>42742166.910000004</v>
      </c>
      <c r="AY43" s="26">
        <f t="shared" si="23"/>
        <v>29602069.399999999</v>
      </c>
      <c r="AZ43" s="26">
        <f t="shared" si="23"/>
        <v>31428638.16</v>
      </c>
      <c r="BA43" s="26">
        <f t="shared" si="23"/>
        <v>35357131.230000012</v>
      </c>
      <c r="BB43" s="26">
        <f t="shared" si="23"/>
        <v>39631712.200000003</v>
      </c>
      <c r="BC43" s="26">
        <f t="shared" si="23"/>
        <v>4432847.2599999988</v>
      </c>
    </row>
    <row r="44" spans="1:55" ht="15">
      <c r="A44" s="18"/>
      <c r="B44" s="18"/>
      <c r="C44" s="18"/>
      <c r="D44" s="18"/>
      <c r="E44" s="18"/>
      <c r="F44" s="18"/>
      <c r="G44" s="18"/>
      <c r="H44" s="18"/>
      <c r="I44" s="28"/>
      <c r="J44" s="18"/>
      <c r="K44" s="18"/>
      <c r="L44" s="18"/>
      <c r="M44" s="18"/>
      <c r="N44" s="45"/>
      <c r="O44" s="16"/>
      <c r="P44" s="16"/>
      <c r="Q44" s="16"/>
      <c r="R44" s="58"/>
      <c r="S44" s="7"/>
      <c r="T44" s="7"/>
      <c r="U44" s="7"/>
      <c r="V44" s="58"/>
      <c r="W44" s="58"/>
      <c r="X44" s="7"/>
      <c r="Y44" s="7"/>
      <c r="Z44" s="53"/>
      <c r="AA44" s="53"/>
      <c r="AB44" s="90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28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16.5">
      <c r="A45" s="18"/>
      <c r="B45" s="18"/>
      <c r="C45" s="18"/>
      <c r="D45" s="18"/>
      <c r="E45" s="18"/>
      <c r="F45" s="18"/>
      <c r="G45" s="18"/>
      <c r="H45" s="18"/>
      <c r="I45" s="25" t="s">
        <v>33</v>
      </c>
      <c r="J45" s="18"/>
      <c r="K45" s="18"/>
      <c r="L45" s="18"/>
      <c r="M45" s="18"/>
      <c r="N45" s="45"/>
      <c r="O45" s="16"/>
      <c r="P45" s="16"/>
      <c r="Q45" s="16"/>
      <c r="R45" s="58"/>
      <c r="S45" s="7"/>
      <c r="T45" s="7"/>
      <c r="U45" s="7"/>
      <c r="V45" s="58"/>
      <c r="W45" s="58"/>
      <c r="X45" s="7"/>
      <c r="Y45" s="7"/>
      <c r="Z45" s="53"/>
      <c r="AA45" s="53"/>
      <c r="AB45" s="90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25" t="s">
        <v>33</v>
      </c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spans="1:55" ht="16.5">
      <c r="A46" s="18"/>
      <c r="B46" s="18"/>
      <c r="C46" s="18"/>
      <c r="D46" s="18"/>
      <c r="E46" s="18"/>
      <c r="F46" s="18"/>
      <c r="G46" s="18"/>
      <c r="H46" s="18"/>
      <c r="I46" s="25"/>
      <c r="J46" s="18"/>
      <c r="K46" s="18"/>
      <c r="L46" s="18"/>
      <c r="M46" s="18"/>
      <c r="N46" s="45"/>
      <c r="O46" s="16"/>
      <c r="P46" s="16"/>
      <c r="Q46" s="16"/>
      <c r="R46" s="58"/>
      <c r="S46" s="7"/>
      <c r="T46" s="7"/>
      <c r="U46" s="7"/>
      <c r="V46" s="58"/>
      <c r="W46" s="58"/>
      <c r="X46" s="7"/>
      <c r="Y46" s="7"/>
      <c r="Z46" s="53"/>
      <c r="AA46" s="53"/>
      <c r="AB46" s="90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25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ht="18">
      <c r="A47" s="16"/>
      <c r="B47" s="16"/>
      <c r="C47" s="16"/>
      <c r="D47" s="16"/>
      <c r="E47" s="16"/>
      <c r="F47" s="16"/>
      <c r="G47" s="16"/>
      <c r="H47" s="16"/>
      <c r="I47" s="29" t="s">
        <v>39</v>
      </c>
      <c r="J47" s="16"/>
      <c r="K47" s="16"/>
      <c r="L47" s="16"/>
      <c r="M47" s="16"/>
      <c r="N47" s="46"/>
      <c r="O47" s="16"/>
      <c r="P47" s="16"/>
      <c r="Q47" s="16"/>
      <c r="R47" s="58"/>
      <c r="S47" s="7"/>
      <c r="T47" s="7"/>
      <c r="U47" s="7"/>
      <c r="V47" s="58"/>
      <c r="W47" s="58"/>
      <c r="X47" s="7"/>
      <c r="Y47" s="7"/>
      <c r="Z47" s="53"/>
      <c r="AA47" s="53"/>
      <c r="AB47" s="90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29" t="s">
        <v>39</v>
      </c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spans="1:55" ht="15.75">
      <c r="A48" s="16">
        <v>15272433.08366666</v>
      </c>
      <c r="B48" s="16">
        <v>458172992.50999981</v>
      </c>
      <c r="C48" s="16">
        <v>14494908.718064519</v>
      </c>
      <c r="D48" s="16">
        <v>449342170.26000005</v>
      </c>
      <c r="E48" s="16">
        <v>16313638.631333327</v>
      </c>
      <c r="F48" s="16">
        <v>489409158.93999982</v>
      </c>
      <c r="G48" s="16">
        <v>16779329.457419377</v>
      </c>
      <c r="H48" s="16">
        <v>520159213.18000072</v>
      </c>
      <c r="I48" s="9" t="s">
        <v>37</v>
      </c>
      <c r="J48" s="16">
        <v>14703677.006774187</v>
      </c>
      <c r="K48" s="16">
        <v>455813987.2099998</v>
      </c>
      <c r="L48" s="16">
        <f>M48/30</f>
        <v>17162391.59066667</v>
      </c>
      <c r="M48" s="42">
        <f>61933599.57+O48+P48+Q48+R48+S48+T48+U48+V48+W48+X48+Y48+Z48+AA48+AB48+AC48+AD48+AE48+AF48+AG48+AH48+AI48+AJ48+AK48+AL48+AM48+AN48+AO48</f>
        <v>514871747.72000009</v>
      </c>
      <c r="N48" s="46">
        <v>22341029.34</v>
      </c>
      <c r="O48" s="16">
        <v>6720438</v>
      </c>
      <c r="P48" s="16">
        <v>18264820</v>
      </c>
      <c r="Q48" s="16">
        <v>6547656</v>
      </c>
      <c r="R48" s="59">
        <v>19122972.82</v>
      </c>
      <c r="S48" s="16">
        <v>23198073.739999998</v>
      </c>
      <c r="T48" s="16">
        <v>15607959</v>
      </c>
      <c r="U48" s="16">
        <v>18819860</v>
      </c>
      <c r="V48" s="59">
        <v>22252778</v>
      </c>
      <c r="W48" s="58">
        <v>17774291.41</v>
      </c>
      <c r="X48" s="7">
        <v>4340152</v>
      </c>
      <c r="Y48" s="7">
        <v>21343009</v>
      </c>
      <c r="Z48" s="53">
        <v>23866046.300000001</v>
      </c>
      <c r="AA48" s="53">
        <v>20042573.199999999</v>
      </c>
      <c r="AB48" s="90">
        <v>19774738.780000001</v>
      </c>
      <c r="AC48" s="7">
        <v>19226571.68</v>
      </c>
      <c r="AD48" s="7">
        <v>18991925</v>
      </c>
      <c r="AE48" s="7">
        <v>5667497</v>
      </c>
      <c r="AF48" s="7">
        <v>20440179</v>
      </c>
      <c r="AG48" s="7">
        <v>20014649</v>
      </c>
      <c r="AH48" s="7">
        <v>18402228</v>
      </c>
      <c r="AI48" s="7">
        <v>22513371</v>
      </c>
      <c r="AJ48" s="7">
        <v>17977896.309999999</v>
      </c>
      <c r="AK48" s="7">
        <v>14511443.550000001</v>
      </c>
      <c r="AL48" s="7">
        <v>1802690.07</v>
      </c>
      <c r="AM48" s="7">
        <v>19403057.260000002</v>
      </c>
      <c r="AN48" s="7">
        <v>18984509.91</v>
      </c>
      <c r="AO48" s="7">
        <v>17326762.120000001</v>
      </c>
      <c r="AP48" s="9" t="s">
        <v>37</v>
      </c>
      <c r="AQ48" s="7">
        <f>AR48/9</f>
        <v>15985066.955555558</v>
      </c>
      <c r="AR48" s="7">
        <f>AS48+AT48+AU48+AV48+AW48+AX48+AY48+AZ48+BA48</f>
        <v>143865602.60000002</v>
      </c>
      <c r="AS48" s="7">
        <v>20727926.27</v>
      </c>
      <c r="AT48" s="7">
        <v>5001624</v>
      </c>
      <c r="AU48" s="7">
        <v>20408917.920000002</v>
      </c>
      <c r="AV48" s="7">
        <v>6246226</v>
      </c>
      <c r="AW48" s="7">
        <v>17559952.899999999</v>
      </c>
      <c r="AX48" s="7">
        <v>20451475.710000001</v>
      </c>
      <c r="AY48" s="7">
        <v>15883169.85</v>
      </c>
      <c r="AZ48" s="7">
        <v>17209314.710000001</v>
      </c>
      <c r="BA48" s="7">
        <v>20376995.240000002</v>
      </c>
      <c r="BB48" s="7">
        <v>17077975.469999999</v>
      </c>
      <c r="BC48" s="7">
        <v>3122486.19</v>
      </c>
    </row>
    <row r="49" spans="1:55" ht="15.75">
      <c r="A49" s="16">
        <v>312409.17066666664</v>
      </c>
      <c r="B49" s="16">
        <v>9372275.1199999992</v>
      </c>
      <c r="C49" s="16">
        <v>496272.14967741934</v>
      </c>
      <c r="D49" s="16">
        <v>15384436.639999999</v>
      </c>
      <c r="E49" s="16">
        <v>396202.71733333333</v>
      </c>
      <c r="F49" s="16">
        <v>11913844.609999998</v>
      </c>
      <c r="G49" s="16">
        <v>687398.98935483873</v>
      </c>
      <c r="H49" s="16">
        <v>21309368.670000002</v>
      </c>
      <c r="I49" s="9" t="s">
        <v>38</v>
      </c>
      <c r="J49" s="16">
        <v>327389.43225806451</v>
      </c>
      <c r="K49" s="16">
        <v>10149072.4</v>
      </c>
      <c r="L49" s="16">
        <f>M49/30</f>
        <v>665942.82566666661</v>
      </c>
      <c r="M49" s="42">
        <f>1600008.27+O49+P49+Q49+R49+S49+T49+U49+V49+W49+X49+Y49+Z49+AA49+AB49+AC49+AD49+AE49+AF49+AG49+AH49+AI49+AJ49+AK49+AM49+AN49+AO49</f>
        <v>19978284.77</v>
      </c>
      <c r="N49" s="46">
        <v>144564</v>
      </c>
      <c r="O49" s="16">
        <v>4380</v>
      </c>
      <c r="P49" s="16">
        <v>328483</v>
      </c>
      <c r="Q49" s="16">
        <v>11471</v>
      </c>
      <c r="R49" s="58">
        <v>366899.44</v>
      </c>
      <c r="S49" s="16">
        <v>2547309.63</v>
      </c>
      <c r="T49" s="16">
        <v>664168</v>
      </c>
      <c r="U49" s="16">
        <v>889855</v>
      </c>
      <c r="V49" s="59">
        <v>719079</v>
      </c>
      <c r="W49" s="58">
        <v>379507.74</v>
      </c>
      <c r="X49" s="7">
        <v>436595</v>
      </c>
      <c r="Y49" s="7">
        <v>504490</v>
      </c>
      <c r="Z49" s="53">
        <v>1215185.05</v>
      </c>
      <c r="AA49" s="53">
        <v>282461</v>
      </c>
      <c r="AB49" s="90">
        <v>876044.99</v>
      </c>
      <c r="AC49" s="7">
        <v>349473.12</v>
      </c>
      <c r="AD49" s="7">
        <v>511496</v>
      </c>
      <c r="AE49" s="7">
        <v>240</v>
      </c>
      <c r="AF49" s="7">
        <v>1968927</v>
      </c>
      <c r="AG49" s="7">
        <v>1484039</v>
      </c>
      <c r="AH49" s="7">
        <v>436332</v>
      </c>
      <c r="AI49" s="7">
        <v>416553</v>
      </c>
      <c r="AJ49" s="7">
        <v>812171.98</v>
      </c>
      <c r="AK49" s="7">
        <v>185862.9</v>
      </c>
      <c r="AL49" s="7"/>
      <c r="AM49" s="7">
        <v>966278.01</v>
      </c>
      <c r="AN49" s="7">
        <v>1649850.63</v>
      </c>
      <c r="AO49" s="7">
        <v>371124.01</v>
      </c>
      <c r="AP49" s="9" t="s">
        <v>38</v>
      </c>
      <c r="AQ49" s="111">
        <f>AR49/9</f>
        <v>1236764.6988888888</v>
      </c>
      <c r="AR49" s="111">
        <f>AS49+AT49+AU49+AV49+AW49+AX49+AY49+AZ49+BA49</f>
        <v>11130882.289999999</v>
      </c>
      <c r="AS49" s="7">
        <v>283473.58</v>
      </c>
      <c r="AT49" s="7">
        <v>4310</v>
      </c>
      <c r="AU49" s="7">
        <v>136867</v>
      </c>
      <c r="AV49" s="7">
        <v>900</v>
      </c>
      <c r="AW49" s="7">
        <v>378090</v>
      </c>
      <c r="AX49" s="7">
        <v>7616213.0899999999</v>
      </c>
      <c r="AY49" s="7">
        <v>379775.45</v>
      </c>
      <c r="AZ49" s="7">
        <v>1876148.41</v>
      </c>
      <c r="BA49" s="7">
        <v>455104.76</v>
      </c>
      <c r="BB49" s="7">
        <v>71539.62</v>
      </c>
      <c r="BC49" s="7">
        <v>150735.31</v>
      </c>
    </row>
    <row r="50" spans="1:55" ht="15">
      <c r="A50" s="16"/>
      <c r="B50" s="16"/>
      <c r="C50" s="16"/>
      <c r="D50" s="16"/>
      <c r="E50" s="16"/>
      <c r="F50" s="16"/>
      <c r="G50" s="16"/>
      <c r="H50" s="16"/>
      <c r="I50" s="19"/>
      <c r="J50" s="16"/>
      <c r="K50" s="16"/>
      <c r="L50" s="16"/>
      <c r="M50" s="16"/>
      <c r="N50" s="46"/>
      <c r="O50" s="16"/>
      <c r="P50" s="16"/>
      <c r="Q50" s="16"/>
      <c r="R50" s="58"/>
      <c r="S50" s="16"/>
      <c r="T50" s="16"/>
      <c r="U50" s="16"/>
      <c r="V50" s="59"/>
      <c r="W50" s="58"/>
      <c r="X50" s="7"/>
      <c r="Y50" s="7"/>
      <c r="Z50" s="53"/>
      <c r="AA50" s="53"/>
      <c r="AB50" s="90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19"/>
      <c r="AQ50" s="7">
        <f>AR50/6</f>
        <v>0</v>
      </c>
      <c r="AR50" s="7">
        <f t="shared" ref="AR50:AR60" si="24">AS50+AT50+AU50+AV50+AW50+AX50</f>
        <v>0</v>
      </c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</row>
    <row r="51" spans="1:55" ht="18">
      <c r="A51" s="16"/>
      <c r="B51" s="16"/>
      <c r="C51" s="16"/>
      <c r="D51" s="16"/>
      <c r="E51" s="16"/>
      <c r="F51" s="16"/>
      <c r="G51" s="16"/>
      <c r="H51" s="16"/>
      <c r="I51" s="29" t="s">
        <v>40</v>
      </c>
      <c r="J51" s="16"/>
      <c r="K51" s="16"/>
      <c r="L51" s="16"/>
      <c r="M51" s="16"/>
      <c r="N51" s="46"/>
      <c r="O51" s="16"/>
      <c r="P51" s="16"/>
      <c r="Q51" s="16"/>
      <c r="R51" s="58"/>
      <c r="S51" s="16"/>
      <c r="T51" s="16"/>
      <c r="U51" s="16"/>
      <c r="V51" s="59"/>
      <c r="W51" s="58"/>
      <c r="X51" s="7"/>
      <c r="Y51" s="7"/>
      <c r="Z51" s="53"/>
      <c r="AA51" s="53"/>
      <c r="AB51" s="90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29" t="s">
        <v>40</v>
      </c>
      <c r="AQ51" s="7">
        <f t="shared" ref="AQ51" si="25">AR51/6</f>
        <v>0</v>
      </c>
      <c r="AR51" s="7">
        <f t="shared" si="24"/>
        <v>0</v>
      </c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spans="1:55" ht="15.75">
      <c r="A52" s="16">
        <v>10119966.081666661</v>
      </c>
      <c r="B52" s="16">
        <v>303598982.44999981</v>
      </c>
      <c r="C52" s="16">
        <v>10031428.801290324</v>
      </c>
      <c r="D52" s="16">
        <v>310974292.84000003</v>
      </c>
      <c r="E52" s="16">
        <v>10960186.185333332</v>
      </c>
      <c r="F52" s="16">
        <v>326184295.96999997</v>
      </c>
      <c r="G52" s="16">
        <v>9706016.9277419355</v>
      </c>
      <c r="H52" s="16">
        <v>300886524.75999999</v>
      </c>
      <c r="I52" s="9" t="s">
        <v>37</v>
      </c>
      <c r="J52" s="16">
        <v>9945600.2016129047</v>
      </c>
      <c r="K52" s="16">
        <v>308313606.25000006</v>
      </c>
      <c r="L52" s="16">
        <f>M52/30</f>
        <v>11709490.495933333</v>
      </c>
      <c r="M52" s="42">
        <f>M53+M54+M55+M56</f>
        <v>351284714.87800002</v>
      </c>
      <c r="N52" s="46">
        <f>+N53+N54+N55+N56</f>
        <v>15508657.800000001</v>
      </c>
      <c r="O52" s="16">
        <f>+O53+O54+O55+O56+O60</f>
        <v>684426.67</v>
      </c>
      <c r="P52" s="16">
        <f t="shared" ref="P52:V52" si="26">+P53+P54+P55+P56</f>
        <v>14743195</v>
      </c>
      <c r="Q52" s="16">
        <f t="shared" si="26"/>
        <v>1665274.31</v>
      </c>
      <c r="R52" s="59">
        <f t="shared" si="26"/>
        <v>24149812.690000001</v>
      </c>
      <c r="S52" s="16">
        <f t="shared" si="26"/>
        <v>12989774.699999999</v>
      </c>
      <c r="T52" s="16">
        <f t="shared" si="26"/>
        <v>12283829</v>
      </c>
      <c r="U52" s="16">
        <f t="shared" si="26"/>
        <v>13096229</v>
      </c>
      <c r="V52" s="59">
        <f t="shared" si="26"/>
        <v>9138564</v>
      </c>
      <c r="W52" s="58">
        <v>11223732.890000001</v>
      </c>
      <c r="X52" s="7">
        <v>356703</v>
      </c>
      <c r="Y52" s="7">
        <v>17116134</v>
      </c>
      <c r="Z52" s="53">
        <v>15020106.18</v>
      </c>
      <c r="AA52" s="53">
        <v>12149131.52</v>
      </c>
      <c r="AB52" s="90">
        <v>13529712.83</v>
      </c>
      <c r="AC52" s="7">
        <v>10764544.9</v>
      </c>
      <c r="AD52" s="7">
        <v>13799069</v>
      </c>
      <c r="AE52" s="7">
        <v>1337239</v>
      </c>
      <c r="AF52" s="7">
        <v>14961901</v>
      </c>
      <c r="AG52" s="7">
        <v>11879920</v>
      </c>
      <c r="AH52" s="7">
        <v>11789342</v>
      </c>
      <c r="AI52" s="7">
        <f>AI53+AI55+AI56</f>
        <v>12095982</v>
      </c>
      <c r="AJ52" s="7">
        <f>AJ53+AJ55+AJ56</f>
        <v>10127931</v>
      </c>
      <c r="AK52" s="7">
        <f>AK53+AK55+AK56</f>
        <v>18717449.789999999</v>
      </c>
      <c r="AL52" s="7">
        <f>AL53+AL55</f>
        <v>1023788.1299999999</v>
      </c>
      <c r="AM52" s="7">
        <f>AM53+AM54+AM55+AM56</f>
        <v>18750058.117999997</v>
      </c>
      <c r="AN52" s="7">
        <f>AN53+AN55+AN56</f>
        <v>17383207.18</v>
      </c>
      <c r="AO52" s="7">
        <f>AO53+AO55+AO56</f>
        <v>11246751.119999999</v>
      </c>
      <c r="AP52" s="9" t="s">
        <v>37</v>
      </c>
      <c r="AQ52" s="112">
        <f>AR52/9</f>
        <v>12738293.655555556</v>
      </c>
      <c r="AR52" s="10">
        <f>AS52+AT52+AU52+AV52+AW52+AX52+AY52+AZ52+BA52</f>
        <v>114644642.90000001</v>
      </c>
      <c r="AS52" s="7">
        <f t="shared" ref="AS52:AZ52" si="27">SUM(AS53:AS56)</f>
        <v>18019707.149999999</v>
      </c>
      <c r="AT52" s="7">
        <f t="shared" si="27"/>
        <v>1735061</v>
      </c>
      <c r="AU52" s="7">
        <f t="shared" si="27"/>
        <v>20993809.41</v>
      </c>
      <c r="AV52" s="7">
        <f t="shared" si="27"/>
        <v>472786</v>
      </c>
      <c r="AW52" s="7">
        <f t="shared" si="27"/>
        <v>20402833.739999998</v>
      </c>
      <c r="AX52" s="7">
        <f t="shared" si="27"/>
        <v>14049679.880000001</v>
      </c>
      <c r="AY52" s="7">
        <f t="shared" si="27"/>
        <v>12563637.779999999</v>
      </c>
      <c r="AZ52" s="7">
        <f t="shared" si="27"/>
        <v>12148863.76</v>
      </c>
      <c r="BA52" s="10">
        <f>BA53+BA55+BA56</f>
        <v>14258264.180000002</v>
      </c>
      <c r="BB52" s="10">
        <f>BB53+BB55+BB56</f>
        <v>17937286.710000005</v>
      </c>
      <c r="BC52" s="10">
        <f>BC53+BC55+BC56</f>
        <v>1159625.76</v>
      </c>
    </row>
    <row r="53" spans="1:55" ht="15">
      <c r="A53" s="18">
        <v>2850182.8126666634</v>
      </c>
      <c r="B53" s="18">
        <v>85505484.379999906</v>
      </c>
      <c r="C53" s="18">
        <v>2774121.9941935474</v>
      </c>
      <c r="D53" s="18">
        <v>85997781.819999963</v>
      </c>
      <c r="E53" s="18">
        <v>3193959.7213333328</v>
      </c>
      <c r="F53" s="18">
        <v>94027671.14000003</v>
      </c>
      <c r="G53" s="18">
        <v>3340383.216451616</v>
      </c>
      <c r="H53" s="18">
        <v>103551879.7100001</v>
      </c>
      <c r="I53" s="19" t="s">
        <v>41</v>
      </c>
      <c r="J53" s="18">
        <v>2609483.7561290297</v>
      </c>
      <c r="K53" s="18">
        <v>80893996.439999923</v>
      </c>
      <c r="L53" s="18">
        <f>M53/30</f>
        <v>3489909.6040000007</v>
      </c>
      <c r="M53" s="43">
        <f>10383910.26+O53+P53+Q53+R53+S53+T53+U53+V53+W53+X53+Y53+Z53+AA53+AB53+AC53+AD53+AE53+AF53+AG53+AH53+AI53+AJ53+AK53+AL53+AM53+AN53+AO53</f>
        <v>104697288.12000002</v>
      </c>
      <c r="N53" s="45">
        <v>3958718.4300000006</v>
      </c>
      <c r="O53" s="18">
        <v>38630.22</v>
      </c>
      <c r="P53" s="18">
        <v>4412618</v>
      </c>
      <c r="Q53" s="16"/>
      <c r="R53" s="44">
        <v>5490845.71</v>
      </c>
      <c r="S53" s="18">
        <v>4593316.88</v>
      </c>
      <c r="T53" s="18">
        <v>2759616</v>
      </c>
      <c r="U53" s="18">
        <v>3880503</v>
      </c>
      <c r="V53" s="44">
        <v>3026895</v>
      </c>
      <c r="W53" s="44">
        <v>3371200.03</v>
      </c>
      <c r="X53" s="18">
        <v>900</v>
      </c>
      <c r="Y53" s="18">
        <v>5235563</v>
      </c>
      <c r="Z53" s="45">
        <v>5929523.4299999997</v>
      </c>
      <c r="AA53" s="45">
        <v>3489620.41</v>
      </c>
      <c r="AB53" s="91">
        <v>4990413.05</v>
      </c>
      <c r="AC53" s="18">
        <v>2599498.17</v>
      </c>
      <c r="AD53" s="18">
        <v>3705430</v>
      </c>
      <c r="AE53" s="18">
        <v>335378</v>
      </c>
      <c r="AF53" s="18">
        <v>6020340</v>
      </c>
      <c r="AG53" s="18">
        <v>5106537</v>
      </c>
      <c r="AH53" s="18">
        <v>4636597</v>
      </c>
      <c r="AI53" s="18">
        <v>3959844</v>
      </c>
      <c r="AJ53" s="18">
        <v>2434944</v>
      </c>
      <c r="AK53" s="18">
        <v>3862750.31</v>
      </c>
      <c r="AL53" s="18">
        <v>325472.28999999998</v>
      </c>
      <c r="AM53" s="18">
        <v>4986742.59</v>
      </c>
      <c r="AN53" s="18">
        <v>4247933.9000000004</v>
      </c>
      <c r="AO53" s="18">
        <v>4872265.87</v>
      </c>
      <c r="AP53" s="19" t="s">
        <v>41</v>
      </c>
      <c r="AQ53" s="43">
        <f>AR53/9</f>
        <v>3764999.4244444435</v>
      </c>
      <c r="AR53" s="18">
        <f>AS53+AT53+AU53+AV53+AW53+AX53+AY53+AZ53+BA53</f>
        <v>33884994.819999993</v>
      </c>
      <c r="AS53" s="18">
        <v>4978792.18</v>
      </c>
      <c r="AT53" s="18">
        <v>607825</v>
      </c>
      <c r="AU53" s="18">
        <v>6723130.7300000004</v>
      </c>
      <c r="AV53" s="18">
        <v>173448</v>
      </c>
      <c r="AW53" s="18">
        <v>5340648.3499999996</v>
      </c>
      <c r="AX53" s="18">
        <v>4729384.97</v>
      </c>
      <c r="AY53" s="18">
        <v>2912962</v>
      </c>
      <c r="AZ53" s="18">
        <v>4289025.1100000003</v>
      </c>
      <c r="BA53" s="18">
        <v>4129778.4799999991</v>
      </c>
      <c r="BB53" s="18">
        <v>2762847.81</v>
      </c>
      <c r="BC53" s="18">
        <v>680100.59</v>
      </c>
    </row>
    <row r="54" spans="1:55" ht="15">
      <c r="A54" s="18">
        <v>92710.970999999976</v>
      </c>
      <c r="B54" s="18">
        <v>2781329.1299999994</v>
      </c>
      <c r="C54" s="18">
        <v>86492.314838709659</v>
      </c>
      <c r="D54" s="18">
        <v>2681261.7599999993</v>
      </c>
      <c r="E54" s="18">
        <v>64290.700333333334</v>
      </c>
      <c r="F54" s="18">
        <v>1680765.0100000002</v>
      </c>
      <c r="G54" s="18">
        <v>8908.724838709677</v>
      </c>
      <c r="H54" s="18">
        <v>276170.46999999997</v>
      </c>
      <c r="I54" s="19" t="s">
        <v>42</v>
      </c>
      <c r="J54" s="18">
        <v>33171.931290322587</v>
      </c>
      <c r="K54" s="18">
        <v>1028329.8700000001</v>
      </c>
      <c r="L54" s="18">
        <f>M54/30</f>
        <v>37173.319333333333</v>
      </c>
      <c r="M54" s="43">
        <f>T54+U54+V54+W54+X54+Y54+Z54+AA54+AB54+AI54+AJ54+AK54+AM54+AN54</f>
        <v>1115199.58</v>
      </c>
      <c r="N54" s="45">
        <v>0</v>
      </c>
      <c r="O54" s="16"/>
      <c r="P54" s="16"/>
      <c r="Q54" s="16"/>
      <c r="R54" s="58"/>
      <c r="S54" s="18"/>
      <c r="T54" s="18">
        <v>432709</v>
      </c>
      <c r="U54" s="18"/>
      <c r="V54" s="44"/>
      <c r="W54" s="44"/>
      <c r="X54" s="18"/>
      <c r="Y54" s="18"/>
      <c r="Z54" s="45"/>
      <c r="AA54" s="45">
        <v>647370.57999999996</v>
      </c>
      <c r="AB54" s="91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>
        <v>35120</v>
      </c>
      <c r="AN54" s="18"/>
      <c r="AO54" s="18"/>
      <c r="AP54" s="19" t="s">
        <v>42</v>
      </c>
      <c r="AQ54" s="43">
        <f>AR54/9</f>
        <v>28995.357777777775</v>
      </c>
      <c r="AR54" s="18">
        <f>AS54+AT54+AU54+AV54+AW54+AX54+AY54+AZ54+BA54</f>
        <v>260958.21999999997</v>
      </c>
      <c r="AS54" s="18"/>
      <c r="AT54" s="18"/>
      <c r="AU54" s="18"/>
      <c r="AV54" s="18"/>
      <c r="AW54" s="18"/>
      <c r="AX54" s="18">
        <v>142151.01999999999</v>
      </c>
      <c r="AY54" s="18">
        <v>118807.2</v>
      </c>
      <c r="AZ54" s="18"/>
      <c r="BA54" s="18"/>
      <c r="BB54" s="18"/>
      <c r="BC54" s="18"/>
    </row>
    <row r="55" spans="1:55" ht="15">
      <c r="A55" s="18">
        <v>6239901.9596666647</v>
      </c>
      <c r="B55" s="18">
        <v>187197058.78999993</v>
      </c>
      <c r="C55" s="18">
        <v>6258074.1483870987</v>
      </c>
      <c r="D55" s="18">
        <v>194000298.60000005</v>
      </c>
      <c r="E55" s="18">
        <v>6843860.5746666668</v>
      </c>
      <c r="F55" s="18">
        <v>205798094.52999991</v>
      </c>
      <c r="G55" s="18">
        <v>5777231.8135483833</v>
      </c>
      <c r="H55" s="18">
        <v>179094186.21999988</v>
      </c>
      <c r="I55" s="19" t="s">
        <v>43</v>
      </c>
      <c r="J55" s="18">
        <v>6505815.7025806485</v>
      </c>
      <c r="K55" s="18">
        <v>201680286.78000009</v>
      </c>
      <c r="L55" s="18">
        <f>M55/30</f>
        <v>7143708.7049333332</v>
      </c>
      <c r="M55" s="43">
        <f>25559533.01+O55+P55+Q55+R55+S55+T55+U55+V55+W55+X55+Y55+Z55+AA55+AB55+AC55+AD55+AE55+AF55+AG55+AH55+AI55+AJ55+AK55+AL55+AM55+AN55+AO55</f>
        <v>214311261.148</v>
      </c>
      <c r="N55" s="45">
        <v>10499353</v>
      </c>
      <c r="O55" s="18">
        <v>55669.45</v>
      </c>
      <c r="P55" s="18">
        <v>8713918</v>
      </c>
      <c r="Q55" s="18">
        <v>1604668.74</v>
      </c>
      <c r="R55" s="44">
        <v>16233604.32</v>
      </c>
      <c r="S55" s="18">
        <v>6760817</v>
      </c>
      <c r="T55" s="18">
        <v>8695803</v>
      </c>
      <c r="U55" s="18">
        <v>8133150</v>
      </c>
      <c r="V55" s="44">
        <v>5751490</v>
      </c>
      <c r="W55" s="44">
        <v>7090049.1100000003</v>
      </c>
      <c r="X55" s="18">
        <v>355803</v>
      </c>
      <c r="Y55" s="18">
        <v>8833601.8900000006</v>
      </c>
      <c r="Z55" s="45">
        <v>8613109.8100000005</v>
      </c>
      <c r="AA55" s="45">
        <v>6873722.8799999999</v>
      </c>
      <c r="AB55" s="91">
        <v>7336769.6299999999</v>
      </c>
      <c r="AC55" s="18">
        <v>7859556.7300000004</v>
      </c>
      <c r="AD55" s="18">
        <v>9671379</v>
      </c>
      <c r="AE55" s="18">
        <v>1001861</v>
      </c>
      <c r="AF55" s="18">
        <v>8357791</v>
      </c>
      <c r="AG55" s="18">
        <v>5451078</v>
      </c>
      <c r="AH55" s="18">
        <v>6214540</v>
      </c>
      <c r="AI55" s="18">
        <v>6751639</v>
      </c>
      <c r="AJ55" s="18">
        <v>6507881</v>
      </c>
      <c r="AK55" s="18">
        <v>12192356.369999999</v>
      </c>
      <c r="AL55" s="18">
        <v>698315.84</v>
      </c>
      <c r="AM55" s="18">
        <v>12085001.148</v>
      </c>
      <c r="AN55" s="18">
        <v>11380293.300000001</v>
      </c>
      <c r="AO55" s="18">
        <v>5527858.9199999999</v>
      </c>
      <c r="AP55" s="19" t="s">
        <v>43</v>
      </c>
      <c r="AQ55" s="43">
        <f>AR55/9</f>
        <v>7783266.564444446</v>
      </c>
      <c r="AR55" s="18">
        <f>AS55+AT55+AU55+AV55+AW55+AX55+AY55+AZ55+BA55</f>
        <v>70049399.080000013</v>
      </c>
      <c r="AS55" s="18">
        <v>10301058.99</v>
      </c>
      <c r="AT55" s="18">
        <v>489383</v>
      </c>
      <c r="AU55" s="18">
        <v>13908821.449999999</v>
      </c>
      <c r="AV55" s="18">
        <v>299338</v>
      </c>
      <c r="AW55" s="18">
        <v>12747678.6</v>
      </c>
      <c r="AX55" s="18">
        <v>8625583.1699999999</v>
      </c>
      <c r="AY55" s="18">
        <v>8381587.0199999996</v>
      </c>
      <c r="AZ55" s="18">
        <v>6266709.4699999997</v>
      </c>
      <c r="BA55" s="18">
        <v>9029239.3800000027</v>
      </c>
      <c r="BB55" s="18">
        <v>12528804.290000005</v>
      </c>
      <c r="BC55" s="18">
        <v>277704.68</v>
      </c>
    </row>
    <row r="56" spans="1:55" ht="15">
      <c r="A56" s="18">
        <v>937170.33833333326</v>
      </c>
      <c r="B56" s="18">
        <v>28115110.149999999</v>
      </c>
      <c r="C56" s="18">
        <v>912740.34387096763</v>
      </c>
      <c r="D56" s="18">
        <v>28294950.659999996</v>
      </c>
      <c r="E56" s="18">
        <v>858075.18900000001</v>
      </c>
      <c r="F56" s="18">
        <v>24677765.289999999</v>
      </c>
      <c r="G56" s="18">
        <v>579493.17290322576</v>
      </c>
      <c r="H56" s="18">
        <v>17964288.359999999</v>
      </c>
      <c r="I56" s="19" t="s">
        <v>44</v>
      </c>
      <c r="J56" s="18">
        <v>797128.81161290326</v>
      </c>
      <c r="K56" s="18">
        <v>24710993.16</v>
      </c>
      <c r="L56" s="18">
        <f>M56/30</f>
        <v>1038698.8676666665</v>
      </c>
      <c r="M56" s="43">
        <f>3907589.69+O56+P56+Q56+R56+S56+T56+U56+V56+W56+Z56+X56+Y56+AA56+AB56+AC56+AD56+AE56+AF56+AG56+AH56+AI56+AJ56+AK56+AM56+AN56+AO56</f>
        <v>31160966.029999994</v>
      </c>
      <c r="N56" s="45">
        <v>1050586.3700000001</v>
      </c>
      <c r="O56" s="16"/>
      <c r="P56" s="18">
        <v>1616659</v>
      </c>
      <c r="Q56" s="18">
        <v>60605.570000000007</v>
      </c>
      <c r="R56" s="44">
        <v>2425362.66</v>
      </c>
      <c r="S56" s="18">
        <v>1635640.82</v>
      </c>
      <c r="T56" s="18">
        <v>395701</v>
      </c>
      <c r="U56" s="18">
        <v>1082576</v>
      </c>
      <c r="V56" s="44">
        <v>360179</v>
      </c>
      <c r="W56" s="44">
        <v>762483.75</v>
      </c>
      <c r="X56" s="18"/>
      <c r="Y56" s="18">
        <v>3046969</v>
      </c>
      <c r="Z56" s="45">
        <v>477472.94</v>
      </c>
      <c r="AA56" s="45">
        <v>1138417.6499999999</v>
      </c>
      <c r="AB56" s="91">
        <v>1202530.1499999999</v>
      </c>
      <c r="AC56" s="18">
        <v>305490</v>
      </c>
      <c r="AD56" s="18">
        <v>422260</v>
      </c>
      <c r="AE56" s="18"/>
      <c r="AF56" s="18">
        <v>583770</v>
      </c>
      <c r="AG56" s="18">
        <v>1322305</v>
      </c>
      <c r="AH56" s="18">
        <v>938205</v>
      </c>
      <c r="AI56" s="18">
        <v>1384499</v>
      </c>
      <c r="AJ56" s="18">
        <v>1185106</v>
      </c>
      <c r="AK56" s="18">
        <v>2662343.11</v>
      </c>
      <c r="AL56" s="18"/>
      <c r="AM56" s="18">
        <v>1643194.38</v>
      </c>
      <c r="AN56" s="18">
        <v>1754979.98</v>
      </c>
      <c r="AO56" s="18">
        <v>846626.33</v>
      </c>
      <c r="AP56" s="19" t="s">
        <v>44</v>
      </c>
      <c r="AQ56" s="43">
        <f>AR56/9</f>
        <v>1161032.3088888889</v>
      </c>
      <c r="AR56" s="18">
        <f>AS56+AT56+AU56+AV56+AW56+AX56+AY56+AZ56+BA56</f>
        <v>10449290.779999999</v>
      </c>
      <c r="AS56" s="18">
        <v>2739855.98</v>
      </c>
      <c r="AT56" s="18">
        <v>637853</v>
      </c>
      <c r="AU56" s="18">
        <v>361857.23</v>
      </c>
      <c r="AV56" s="18"/>
      <c r="AW56" s="18">
        <v>2314506.79</v>
      </c>
      <c r="AX56" s="18">
        <v>552560.72</v>
      </c>
      <c r="AY56" s="18">
        <v>1150281.56</v>
      </c>
      <c r="AZ56" s="18">
        <v>1593129.18</v>
      </c>
      <c r="BA56" s="18">
        <v>1099246.32</v>
      </c>
      <c r="BB56" s="18">
        <v>2645634.61</v>
      </c>
      <c r="BC56" s="18">
        <v>201820.49</v>
      </c>
    </row>
    <row r="57" spans="1:55" ht="15">
      <c r="A57" s="18"/>
      <c r="B57" s="18"/>
      <c r="C57" s="18"/>
      <c r="D57" s="18"/>
      <c r="E57" s="18"/>
      <c r="F57" s="18"/>
      <c r="G57" s="18"/>
      <c r="H57" s="18"/>
      <c r="I57" s="19"/>
      <c r="J57" s="18"/>
      <c r="K57" s="18"/>
      <c r="L57" s="18"/>
      <c r="M57" s="18"/>
      <c r="N57" s="45"/>
      <c r="O57" s="16"/>
      <c r="P57" s="16"/>
      <c r="Q57" s="16"/>
      <c r="R57" s="58"/>
      <c r="S57" s="18"/>
      <c r="T57" s="18"/>
      <c r="U57" s="18"/>
      <c r="V57" s="44"/>
      <c r="W57" s="44"/>
      <c r="X57" s="18"/>
      <c r="Y57" s="18"/>
      <c r="Z57" s="45"/>
      <c r="AA57" s="45"/>
      <c r="AB57" s="91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9"/>
      <c r="AQ57" s="18">
        <f>AR57/6</f>
        <v>0</v>
      </c>
      <c r="AR57" s="18">
        <f>AS57+AT57+AU57+AV57+AW57+AX57+BA57</f>
        <v>0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</row>
    <row r="58" spans="1:55" ht="15.75">
      <c r="A58" s="16">
        <v>1077312.1133333335</v>
      </c>
      <c r="B58" s="16">
        <v>32319363.400000006</v>
      </c>
      <c r="C58" s="16">
        <v>1343612.0367741936</v>
      </c>
      <c r="D58" s="16">
        <v>41651973.140000001</v>
      </c>
      <c r="E58" s="16">
        <v>541067.60666666657</v>
      </c>
      <c r="F58" s="16">
        <v>19323308.059999999</v>
      </c>
      <c r="G58" s="16">
        <v>801060.80870967719</v>
      </c>
      <c r="H58" s="16">
        <v>24832885.069999993</v>
      </c>
      <c r="I58" s="9" t="s">
        <v>38</v>
      </c>
      <c r="J58" s="16">
        <v>566573.07387096761</v>
      </c>
      <c r="K58" s="16">
        <v>17563765.289999995</v>
      </c>
      <c r="L58" s="16">
        <f>M58/30</f>
        <v>727587.91200000001</v>
      </c>
      <c r="M58" s="42">
        <f>M59+M60</f>
        <v>21827637.359999999</v>
      </c>
      <c r="N58" s="46">
        <f t="shared" ref="N58:Z58" si="28">+N59+N60</f>
        <v>63286</v>
      </c>
      <c r="O58" s="16">
        <f t="shared" si="28"/>
        <v>590127</v>
      </c>
      <c r="P58" s="16">
        <f t="shared" si="28"/>
        <v>1856939</v>
      </c>
      <c r="Q58" s="16">
        <f t="shared" si="28"/>
        <v>0</v>
      </c>
      <c r="R58" s="59">
        <f t="shared" si="28"/>
        <v>2455567.52</v>
      </c>
      <c r="S58" s="16">
        <f t="shared" si="28"/>
        <v>26438.48</v>
      </c>
      <c r="T58" s="16">
        <f t="shared" si="28"/>
        <v>229076</v>
      </c>
      <c r="U58" s="16">
        <f t="shared" si="28"/>
        <v>67140</v>
      </c>
      <c r="V58" s="59">
        <f t="shared" si="28"/>
        <v>246864</v>
      </c>
      <c r="W58" s="59">
        <f t="shared" si="28"/>
        <v>3500565.2</v>
      </c>
      <c r="X58" s="16">
        <f t="shared" si="28"/>
        <v>29630</v>
      </c>
      <c r="Y58" s="16">
        <f t="shared" si="28"/>
        <v>2483485.58</v>
      </c>
      <c r="Z58" s="46">
        <f t="shared" si="28"/>
        <v>101615.41</v>
      </c>
      <c r="AA58" s="46">
        <v>49667.37</v>
      </c>
      <c r="AB58" s="94">
        <v>45302.39</v>
      </c>
      <c r="AC58" s="16">
        <v>34650</v>
      </c>
      <c r="AD58" s="16">
        <v>72716</v>
      </c>
      <c r="AE58" s="16"/>
      <c r="AF58" s="16">
        <v>45754</v>
      </c>
      <c r="AG58" s="16">
        <v>2376243</v>
      </c>
      <c r="AH58" s="16">
        <v>37827</v>
      </c>
      <c r="AI58" s="16">
        <f>AI59+AI60</f>
        <v>975431</v>
      </c>
      <c r="AJ58" s="16">
        <f>AJ59</f>
        <v>987920</v>
      </c>
      <c r="AK58" s="16">
        <f>AK59</f>
        <v>612624.53</v>
      </c>
      <c r="AL58" s="16"/>
      <c r="AM58" s="16">
        <f>AM59</f>
        <v>61015.17</v>
      </c>
      <c r="AN58" s="16">
        <f>AN59</f>
        <v>4052227.07</v>
      </c>
      <c r="AO58" s="16">
        <f>AO59</f>
        <v>723212.39</v>
      </c>
      <c r="AP58" s="9" t="s">
        <v>38</v>
      </c>
      <c r="AQ58" s="42">
        <f>AR58/9</f>
        <v>389101.49666666659</v>
      </c>
      <c r="AR58" s="16">
        <f>AS58+AT58+AU58+AV58+AW58+AX58+AY58+AZ58+BA58</f>
        <v>3501913.4699999993</v>
      </c>
      <c r="AS58" s="16">
        <f>SUM(AS59:AS60)</f>
        <v>398451.13</v>
      </c>
      <c r="AT58" s="16"/>
      <c r="AU58" s="16">
        <f t="shared" ref="AU58:AZ58" si="29">SUM(AU59:AU60)</f>
        <v>934006.14</v>
      </c>
      <c r="AV58" s="16">
        <f t="shared" si="29"/>
        <v>28890</v>
      </c>
      <c r="AW58" s="16">
        <f t="shared" si="29"/>
        <v>279203.3</v>
      </c>
      <c r="AX58" s="16">
        <f t="shared" si="29"/>
        <v>624798.23</v>
      </c>
      <c r="AY58" s="16">
        <f t="shared" si="29"/>
        <v>775486.34</v>
      </c>
      <c r="AZ58" s="16">
        <f t="shared" si="29"/>
        <v>194311.28</v>
      </c>
      <c r="BA58" s="16">
        <f>BA59</f>
        <v>266767.05</v>
      </c>
      <c r="BB58" s="16">
        <f>BB59+BB60</f>
        <v>4544910.4000000004</v>
      </c>
      <c r="BC58" s="16">
        <f>BC59+BC60</f>
        <v>0</v>
      </c>
    </row>
    <row r="59" spans="1:55" ht="15">
      <c r="A59" s="18">
        <v>992530.55700000015</v>
      </c>
      <c r="B59" s="18">
        <v>29775916.710000005</v>
      </c>
      <c r="C59" s="18">
        <v>1015254.6032258065</v>
      </c>
      <c r="D59" s="18">
        <v>31472892.700000003</v>
      </c>
      <c r="E59" s="18">
        <v>405154.02133333322</v>
      </c>
      <c r="F59" s="18">
        <v>14987365.18</v>
      </c>
      <c r="G59" s="18">
        <v>486141.6703225805</v>
      </c>
      <c r="H59" s="18">
        <v>15070391.779999996</v>
      </c>
      <c r="I59" s="19" t="s">
        <v>45</v>
      </c>
      <c r="J59" s="18">
        <v>421031.83419354825</v>
      </c>
      <c r="K59" s="18">
        <v>13051986.859999996</v>
      </c>
      <c r="L59" s="18">
        <f>M59/30</f>
        <v>379471.5516666667</v>
      </c>
      <c r="M59" s="43">
        <f>165599.25+O59+P59+R59+S59+T59+U59+V59+W59+X59+Y59+Z59+AA59+AB59+AC59+AD59+AF59+AG59+AH59+AI59+AJ59+AK59+AM59+AN59+AO59</f>
        <v>11384146.550000001</v>
      </c>
      <c r="N59" s="45">
        <v>63286</v>
      </c>
      <c r="O59" s="16"/>
      <c r="P59" s="18">
        <v>104084</v>
      </c>
      <c r="Q59" s="16"/>
      <c r="R59" s="44">
        <v>347727.52</v>
      </c>
      <c r="S59" s="18">
        <v>26438.48</v>
      </c>
      <c r="T59" s="18">
        <v>229076</v>
      </c>
      <c r="U59" s="18">
        <v>67140</v>
      </c>
      <c r="V59" s="44">
        <v>246864</v>
      </c>
      <c r="W59" s="44">
        <v>151118.43</v>
      </c>
      <c r="X59" s="18">
        <v>29630</v>
      </c>
      <c r="Y59" s="18">
        <v>1293282.54</v>
      </c>
      <c r="Z59" s="45">
        <v>101615.41</v>
      </c>
      <c r="AA59" s="45">
        <v>49667.37</v>
      </c>
      <c r="AB59" s="91">
        <v>45302.39</v>
      </c>
      <c r="AC59" s="18">
        <v>34650</v>
      </c>
      <c r="AD59" s="18">
        <v>72716</v>
      </c>
      <c r="AE59" s="18"/>
      <c r="AF59" s="18">
        <v>45754</v>
      </c>
      <c r="AG59" s="18">
        <v>923224</v>
      </c>
      <c r="AH59" s="18">
        <v>37827</v>
      </c>
      <c r="AI59" s="18">
        <v>975431</v>
      </c>
      <c r="AJ59" s="18">
        <v>987920</v>
      </c>
      <c r="AK59" s="18">
        <v>612624.53</v>
      </c>
      <c r="AL59" s="18"/>
      <c r="AM59" s="18">
        <v>61015.17</v>
      </c>
      <c r="AN59" s="18">
        <v>4052227.07</v>
      </c>
      <c r="AO59" s="18">
        <v>723212.39</v>
      </c>
      <c r="AP59" s="19" t="s">
        <v>45</v>
      </c>
      <c r="AQ59" s="43">
        <f>AR59/9</f>
        <v>389101.49666666659</v>
      </c>
      <c r="AR59" s="18">
        <f>AS59+AT59+AU59+AV59+AW59+AX59+AY59+AZ59+BA59</f>
        <v>3501913.4699999993</v>
      </c>
      <c r="AS59" s="18">
        <v>398451.13</v>
      </c>
      <c r="AT59" s="18"/>
      <c r="AU59" s="18">
        <v>934006.14</v>
      </c>
      <c r="AV59" s="18">
        <v>28890</v>
      </c>
      <c r="AW59" s="18">
        <v>279203.3</v>
      </c>
      <c r="AX59" s="18">
        <v>624798.23</v>
      </c>
      <c r="AY59" s="18">
        <v>775486.34</v>
      </c>
      <c r="AZ59" s="18">
        <v>194311.28</v>
      </c>
      <c r="BA59" s="18">
        <v>266767.05</v>
      </c>
      <c r="BB59" s="18">
        <v>535847.88</v>
      </c>
      <c r="BC59" s="18"/>
    </row>
    <row r="60" spans="1:55" ht="15">
      <c r="A60" s="18">
        <v>84781.556333333327</v>
      </c>
      <c r="B60" s="18">
        <v>2543446.69</v>
      </c>
      <c r="C60" s="18">
        <v>328357.43354838708</v>
      </c>
      <c r="D60" s="18">
        <v>10179080.439999999</v>
      </c>
      <c r="E60" s="18">
        <v>135913.58533333332</v>
      </c>
      <c r="F60" s="18">
        <v>4335942.88</v>
      </c>
      <c r="G60" s="18">
        <v>314919.13838709675</v>
      </c>
      <c r="H60" s="18">
        <v>9762493.2899999991</v>
      </c>
      <c r="I60" s="19" t="s">
        <v>44</v>
      </c>
      <c r="J60" s="18">
        <v>145541.23967741933</v>
      </c>
      <c r="K60" s="18">
        <v>4511778.43</v>
      </c>
      <c r="L60" s="18">
        <f>M60/30</f>
        <v>348116.36033333332</v>
      </c>
      <c r="M60" s="43">
        <f>O60+P60+Q60+R60+S60+T60+V60+W60+X60+Y60+Z60+AA60+AB60+AG60+AH60</f>
        <v>10443490.809999999</v>
      </c>
      <c r="N60" s="45">
        <v>0</v>
      </c>
      <c r="O60" s="18">
        <v>590127</v>
      </c>
      <c r="P60" s="18">
        <v>1752855</v>
      </c>
      <c r="Q60" s="16"/>
      <c r="R60" s="44">
        <v>2107840</v>
      </c>
      <c r="S60" s="18"/>
      <c r="T60" s="18"/>
      <c r="U60" s="18"/>
      <c r="V60" s="44"/>
      <c r="W60" s="60">
        <v>3349446.77</v>
      </c>
      <c r="X60" s="18"/>
      <c r="Y60" s="18">
        <v>1190203.04</v>
      </c>
      <c r="Z60" s="45"/>
      <c r="AA60" s="45"/>
      <c r="AB60" s="91"/>
      <c r="AC60" s="18"/>
      <c r="AD60" s="18"/>
      <c r="AE60" s="18"/>
      <c r="AF60" s="18"/>
      <c r="AG60" s="18">
        <v>1453019</v>
      </c>
      <c r="AH60" s="18"/>
      <c r="AI60" s="18"/>
      <c r="AJ60" s="18"/>
      <c r="AK60" s="18"/>
      <c r="AL60" s="18"/>
      <c r="AM60" s="18"/>
      <c r="AN60" s="18"/>
      <c r="AO60" s="18"/>
      <c r="AP60" s="19" t="s">
        <v>44</v>
      </c>
      <c r="AQ60" s="18">
        <f>AR60/6</f>
        <v>0</v>
      </c>
      <c r="AR60" s="18">
        <f t="shared" si="24"/>
        <v>0</v>
      </c>
      <c r="AS60" s="18"/>
      <c r="AT60" s="18"/>
      <c r="AU60" s="18"/>
      <c r="AV60" s="18"/>
      <c r="AW60" s="18"/>
      <c r="AX60" s="18"/>
      <c r="AY60" s="18"/>
      <c r="AZ60" s="18"/>
      <c r="BA60" s="18"/>
      <c r="BB60" s="18">
        <v>4009062.52</v>
      </c>
      <c r="BC60" s="18"/>
    </row>
    <row r="61" spans="1:55" ht="16.5">
      <c r="A61" s="26">
        <f t="shared" ref="A61:H61" si="30">+A48+A49+A52+A58</f>
        <v>26782120.449333321</v>
      </c>
      <c r="B61" s="26">
        <f t="shared" si="30"/>
        <v>803463613.47999966</v>
      </c>
      <c r="C61" s="26">
        <f t="shared" si="30"/>
        <v>26366221.705806453</v>
      </c>
      <c r="D61" s="26">
        <f t="shared" si="30"/>
        <v>817352872.88</v>
      </c>
      <c r="E61" s="26">
        <f t="shared" si="30"/>
        <v>28211095.14066666</v>
      </c>
      <c r="F61" s="26">
        <f t="shared" si="30"/>
        <v>846830607.57999969</v>
      </c>
      <c r="G61" s="26">
        <f t="shared" si="30"/>
        <v>27973806.183225829</v>
      </c>
      <c r="H61" s="63">
        <f t="shared" si="30"/>
        <v>867187991.68000078</v>
      </c>
      <c r="I61" s="75" t="s">
        <v>36</v>
      </c>
      <c r="J61" s="76">
        <v>25543239.714516122</v>
      </c>
      <c r="K61" s="76">
        <v>791840431.14999986</v>
      </c>
      <c r="L61" s="76">
        <f t="shared" ref="L61:AH61" si="31">L48+L49+L52+L58</f>
        <v>30265412.824266672</v>
      </c>
      <c r="M61" s="76">
        <f>M48+M49+M52+M58</f>
        <v>907962384.72800004</v>
      </c>
      <c r="N61" s="76">
        <f t="shared" si="31"/>
        <v>38057537.140000001</v>
      </c>
      <c r="O61" s="76">
        <f t="shared" si="31"/>
        <v>7999371.6699999999</v>
      </c>
      <c r="P61" s="76">
        <f t="shared" si="31"/>
        <v>35193437</v>
      </c>
      <c r="Q61" s="76">
        <f t="shared" si="31"/>
        <v>8224401.3100000005</v>
      </c>
      <c r="R61" s="76">
        <f t="shared" si="31"/>
        <v>46095252.470000006</v>
      </c>
      <c r="S61" s="76">
        <f t="shared" si="31"/>
        <v>38761596.54999999</v>
      </c>
      <c r="T61" s="76">
        <f t="shared" si="31"/>
        <v>28785032</v>
      </c>
      <c r="U61" s="76">
        <f t="shared" si="31"/>
        <v>32873084</v>
      </c>
      <c r="V61" s="76">
        <f t="shared" si="31"/>
        <v>32357285</v>
      </c>
      <c r="W61" s="76">
        <f t="shared" si="31"/>
        <v>32878097.239999998</v>
      </c>
      <c r="X61" s="76">
        <f t="shared" si="31"/>
        <v>5163080</v>
      </c>
      <c r="Y61" s="76">
        <f t="shared" si="31"/>
        <v>41447118.579999998</v>
      </c>
      <c r="Z61" s="76">
        <f t="shared" si="31"/>
        <v>40202952.939999998</v>
      </c>
      <c r="AA61" s="76">
        <f t="shared" si="31"/>
        <v>32523833.09</v>
      </c>
      <c r="AB61" s="95">
        <f t="shared" si="31"/>
        <v>34225798.990000002</v>
      </c>
      <c r="AC61" s="26">
        <f t="shared" si="31"/>
        <v>30375239.700000003</v>
      </c>
      <c r="AD61" s="26">
        <f t="shared" si="31"/>
        <v>33375206</v>
      </c>
      <c r="AE61" s="26">
        <f t="shared" si="31"/>
        <v>7004976</v>
      </c>
      <c r="AF61" s="26">
        <f t="shared" si="31"/>
        <v>37416761</v>
      </c>
      <c r="AG61" s="26">
        <f t="shared" si="31"/>
        <v>35754851</v>
      </c>
      <c r="AH61" s="26">
        <f t="shared" si="31"/>
        <v>30665729</v>
      </c>
      <c r="AI61" s="26">
        <f>AI58+AI52+AI49+AI48</f>
        <v>36001337</v>
      </c>
      <c r="AJ61" s="26">
        <f>AJ48+AJ49+AJ52+AJ58</f>
        <v>29905919.289999999</v>
      </c>
      <c r="AK61" s="26">
        <f>AK48+AK49+AK52+AK58</f>
        <v>34027380.770000003</v>
      </c>
      <c r="AL61" s="26">
        <f>AL48+AL52</f>
        <v>2826478.2</v>
      </c>
      <c r="AM61" s="26">
        <f>AM48+AM49+AM52+AM58</f>
        <v>39180408.557999998</v>
      </c>
      <c r="AN61" s="26">
        <f>AN48+AN49+AN52+AN58</f>
        <v>42069794.789999999</v>
      </c>
      <c r="AO61" s="26">
        <f>AO48+AO49+AO52+AO58</f>
        <v>29667849.640000001</v>
      </c>
      <c r="AP61" s="75" t="s">
        <v>36</v>
      </c>
      <c r="AQ61" s="26">
        <f>AQ48+AQ49+AQ52+AQ58</f>
        <v>30349226.806666669</v>
      </c>
      <c r="AR61" s="26">
        <f>AR48+AR49+AR52+AR58</f>
        <v>273143041.26000005</v>
      </c>
      <c r="AS61" s="26">
        <f t="shared" ref="AS61:BC61" si="32">AS48+AS49+AS52+AS58</f>
        <v>39429558.130000003</v>
      </c>
      <c r="AT61" s="26">
        <f t="shared" si="32"/>
        <v>6740995</v>
      </c>
      <c r="AU61" s="26">
        <f t="shared" si="32"/>
        <v>42473600.469999999</v>
      </c>
      <c r="AV61" s="26">
        <f t="shared" si="32"/>
        <v>6748802</v>
      </c>
      <c r="AW61" s="26">
        <f t="shared" si="32"/>
        <v>38620079.939999998</v>
      </c>
      <c r="AX61" s="26">
        <f t="shared" si="32"/>
        <v>42742166.909999996</v>
      </c>
      <c r="AY61" s="26">
        <f t="shared" si="32"/>
        <v>29602069.419999998</v>
      </c>
      <c r="AZ61" s="26">
        <f t="shared" si="32"/>
        <v>31428638.160000004</v>
      </c>
      <c r="BA61" s="26">
        <f t="shared" si="32"/>
        <v>35357131.230000004</v>
      </c>
      <c r="BB61" s="26">
        <f t="shared" si="32"/>
        <v>39631712.200000003</v>
      </c>
      <c r="BC61" s="26">
        <f t="shared" si="32"/>
        <v>4432847.26</v>
      </c>
    </row>
    <row r="62" spans="1:55" ht="15">
      <c r="A62" s="16"/>
      <c r="B62" s="16"/>
      <c r="C62" s="16"/>
      <c r="D62" s="16"/>
      <c r="E62" s="16"/>
      <c r="F62" s="16"/>
      <c r="G62" s="16"/>
      <c r="H62" s="16"/>
      <c r="I62" s="28"/>
      <c r="J62" s="16"/>
      <c r="K62" s="16"/>
      <c r="L62" s="16"/>
      <c r="M62" s="16"/>
      <c r="N62" s="46"/>
      <c r="O62" s="16"/>
      <c r="P62" s="16"/>
      <c r="Q62" s="16"/>
      <c r="R62" s="58"/>
      <c r="S62" s="7"/>
      <c r="T62" s="7"/>
      <c r="U62" s="7"/>
      <c r="V62" s="58"/>
      <c r="W62" s="58"/>
      <c r="X62" s="7"/>
      <c r="Y62" s="7"/>
      <c r="Z62" s="53"/>
      <c r="AA62" s="53"/>
      <c r="AB62" s="90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28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</row>
    <row r="63" spans="1:55" ht="19.5">
      <c r="A63" s="30"/>
      <c r="B63" s="30"/>
      <c r="C63" s="30"/>
      <c r="D63" s="30"/>
      <c r="E63" s="30"/>
      <c r="F63" s="30"/>
      <c r="G63" s="30"/>
      <c r="H63" s="30"/>
      <c r="I63" s="28"/>
      <c r="J63" s="30"/>
      <c r="K63" s="30"/>
      <c r="L63" s="30"/>
      <c r="M63" s="30"/>
      <c r="N63" s="46"/>
      <c r="O63" s="16"/>
      <c r="P63" s="16"/>
      <c r="Q63" s="16"/>
      <c r="R63" s="58"/>
      <c r="S63" s="7"/>
      <c r="T63" s="7"/>
      <c r="U63" s="7"/>
      <c r="V63" s="58"/>
      <c r="W63" s="81"/>
      <c r="X63" s="71"/>
      <c r="Y63" s="71"/>
      <c r="Z63" s="53"/>
      <c r="AA63" s="53"/>
      <c r="AB63" s="90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28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</row>
    <row r="64" spans="1:55" ht="16.5">
      <c r="A64" s="31">
        <v>8167677.291333341</v>
      </c>
      <c r="B64" s="31">
        <v>245030318.74000022</v>
      </c>
      <c r="C64" s="31">
        <v>8148915.1151612997</v>
      </c>
      <c r="D64" s="31">
        <v>252616368.57000029</v>
      </c>
      <c r="E64" s="31">
        <v>8480982.3639999963</v>
      </c>
      <c r="F64" s="31">
        <v>254429470.91999987</v>
      </c>
      <c r="G64" s="31">
        <v>8505594.107419109</v>
      </c>
      <c r="H64" s="31">
        <v>263673417.32999238</v>
      </c>
      <c r="I64" s="32" t="s">
        <v>46</v>
      </c>
      <c r="J64" s="31">
        <v>7831123.3983870065</v>
      </c>
      <c r="K64" s="31">
        <v>242764825.34999719</v>
      </c>
      <c r="L64" s="31">
        <f>M64/30</f>
        <v>9727707.4499999955</v>
      </c>
      <c r="M64" s="68">
        <f>30336366.33+O64+P64+R64+S64+Q64+T64+U64+W64+V64+X64+Y64+Z64+AA64+AB64+AC64+AD64+AE64+AF64+AG64+AH64+AI64+AJ64+AK64+AL64+AM64+AN64+AO64</f>
        <v>291831223.49999988</v>
      </c>
      <c r="N64" s="48">
        <v>11109500.67</v>
      </c>
      <c r="O64" s="31">
        <v>3891877.1700000069</v>
      </c>
      <c r="P64" s="31">
        <v>9203876.6099999994</v>
      </c>
      <c r="Q64" s="31">
        <v>3408926.5699999984</v>
      </c>
      <c r="R64" s="64">
        <v>10768966.530000014</v>
      </c>
      <c r="S64" s="31">
        <v>10906630.779999986</v>
      </c>
      <c r="T64" s="31">
        <v>11828867.239999983</v>
      </c>
      <c r="U64" s="31">
        <v>11195483.379999962</v>
      </c>
      <c r="V64" s="64">
        <v>13505600.450000003</v>
      </c>
      <c r="W64" s="82">
        <v>8941981.6300000027</v>
      </c>
      <c r="X64" s="72">
        <v>3076387.4400000018</v>
      </c>
      <c r="Y64" s="72">
        <v>11223157.679999964</v>
      </c>
      <c r="Z64" s="79">
        <v>12300518.649999963</v>
      </c>
      <c r="AA64" s="79">
        <v>10505607.689999996</v>
      </c>
      <c r="AB64" s="96">
        <v>12002535.569999967</v>
      </c>
      <c r="AC64" s="72">
        <v>10024006.09</v>
      </c>
      <c r="AD64" s="72">
        <v>10353502</v>
      </c>
      <c r="AE64" s="72">
        <v>3301913</v>
      </c>
      <c r="AF64" s="72">
        <v>13628613</v>
      </c>
      <c r="AG64" s="72">
        <v>11317884</v>
      </c>
      <c r="AH64" s="72">
        <v>9286393</v>
      </c>
      <c r="AI64" s="72">
        <v>12892609</v>
      </c>
      <c r="AJ64" s="72">
        <v>12542079.539999999</v>
      </c>
      <c r="AK64" s="72">
        <v>10142934.860000022</v>
      </c>
      <c r="AL64" s="72">
        <v>3374894.6400000066</v>
      </c>
      <c r="AM64" s="72">
        <v>10915489.259999985</v>
      </c>
      <c r="AN64" s="72">
        <v>10725200.170000002</v>
      </c>
      <c r="AO64" s="72">
        <v>10228921.220000016</v>
      </c>
      <c r="AP64" s="32" t="s">
        <v>46</v>
      </c>
      <c r="AQ64" s="72">
        <f>AR64/9</f>
        <v>8996621.1099999994</v>
      </c>
      <c r="AR64" s="72">
        <f>AS64+AT64+AU64+AV64+AW64+AX64+AY64+AZ64+BA64</f>
        <v>80969589.989999995</v>
      </c>
      <c r="AS64" s="72">
        <v>12466870.189999983</v>
      </c>
      <c r="AT64" s="72">
        <v>3449737</v>
      </c>
      <c r="AU64" s="72">
        <v>7891655.2499999981</v>
      </c>
      <c r="AV64" s="72">
        <v>2772500</v>
      </c>
      <c r="AW64" s="72">
        <v>10582828.999999978</v>
      </c>
      <c r="AX64" s="72">
        <v>12015543.320000004</v>
      </c>
      <c r="AY64" s="72">
        <v>11114519.290000038</v>
      </c>
      <c r="AZ64" s="72">
        <v>10510933.44000002</v>
      </c>
      <c r="BA64" s="72">
        <v>10165002.499999991</v>
      </c>
      <c r="BB64" s="72">
        <v>8454387.2799999975</v>
      </c>
      <c r="BC64" s="72">
        <v>2621824.7900000066</v>
      </c>
    </row>
    <row r="65" spans="1:55" ht="16.5">
      <c r="A65" s="16"/>
      <c r="B65" s="16"/>
      <c r="C65" s="16"/>
      <c r="D65" s="16"/>
      <c r="E65" s="16"/>
      <c r="F65" s="16"/>
      <c r="G65" s="16"/>
      <c r="H65" s="16"/>
      <c r="I65" s="25"/>
      <c r="J65" s="16"/>
      <c r="K65" s="16"/>
      <c r="L65" s="16"/>
      <c r="M65" s="16"/>
      <c r="N65" s="46"/>
      <c r="O65" s="16"/>
      <c r="P65" s="16"/>
      <c r="Q65" s="16"/>
      <c r="R65" s="58"/>
      <c r="S65" s="7"/>
      <c r="T65" s="7"/>
      <c r="U65" s="7"/>
      <c r="V65" s="58"/>
      <c r="W65" s="58"/>
      <c r="X65" s="7"/>
      <c r="Y65" s="7"/>
      <c r="Z65" s="53"/>
      <c r="AA65" s="53"/>
      <c r="AB65" s="90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25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</row>
    <row r="66" spans="1:55" ht="15.75" thickBot="1">
      <c r="A66" s="18"/>
      <c r="B66" s="18"/>
      <c r="C66" s="18"/>
      <c r="D66" s="18"/>
      <c r="E66" s="18"/>
      <c r="F66" s="18"/>
      <c r="G66" s="18"/>
      <c r="H66" s="18"/>
      <c r="I66" s="28"/>
      <c r="J66" s="18"/>
      <c r="K66" s="18"/>
      <c r="L66" s="18"/>
      <c r="M66" s="18"/>
      <c r="N66" s="45"/>
      <c r="O66" s="16"/>
      <c r="P66" s="16"/>
      <c r="Q66" s="16"/>
      <c r="R66" s="58"/>
      <c r="S66" s="7"/>
      <c r="T66" s="7"/>
      <c r="U66" s="7"/>
      <c r="V66" s="58"/>
      <c r="W66" s="81"/>
      <c r="X66" s="7"/>
      <c r="Y66" s="7"/>
      <c r="Z66" s="53"/>
      <c r="AA66" s="53"/>
      <c r="AB66" s="90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28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</row>
    <row r="67" spans="1:55" ht="16.5">
      <c r="A67" s="26">
        <f t="shared" ref="A67:H67" si="33">+A61-A64</f>
        <v>18614443.157999981</v>
      </c>
      <c r="B67" s="26">
        <f t="shared" si="33"/>
        <v>558433294.73999941</v>
      </c>
      <c r="C67" s="26">
        <f t="shared" si="33"/>
        <v>18217306.590645153</v>
      </c>
      <c r="D67" s="26">
        <f t="shared" si="33"/>
        <v>564736504.3099997</v>
      </c>
      <c r="E67" s="26">
        <f t="shared" si="33"/>
        <v>19730112.776666664</v>
      </c>
      <c r="F67" s="26">
        <f t="shared" si="33"/>
        <v>592401136.65999985</v>
      </c>
      <c r="G67" s="26">
        <f t="shared" si="33"/>
        <v>19468212.075806722</v>
      </c>
      <c r="H67" s="26">
        <f t="shared" si="33"/>
        <v>603514574.35000837</v>
      </c>
      <c r="I67" s="27" t="s">
        <v>47</v>
      </c>
      <c r="J67" s="26">
        <v>17712116.316129114</v>
      </c>
      <c r="K67" s="41">
        <v>549075605.80000269</v>
      </c>
      <c r="L67" s="41">
        <f>L61-L64</f>
        <v>20537705.374266677</v>
      </c>
      <c r="M67" s="69">
        <f>M61-M64</f>
        <v>616131161.22800016</v>
      </c>
      <c r="N67" s="49">
        <f t="shared" ref="N67:AI67" si="34">+N61-N64</f>
        <v>26948036.469999999</v>
      </c>
      <c r="O67" s="41">
        <f t="shared" si="34"/>
        <v>4107494.499999993</v>
      </c>
      <c r="P67" s="41">
        <f t="shared" si="34"/>
        <v>25989560.390000001</v>
      </c>
      <c r="Q67" s="41">
        <f t="shared" si="34"/>
        <v>4815474.7400000021</v>
      </c>
      <c r="R67" s="65">
        <f t="shared" si="34"/>
        <v>35326285.93999999</v>
      </c>
      <c r="S67" s="41">
        <f t="shared" si="34"/>
        <v>27854965.770000003</v>
      </c>
      <c r="T67" s="41">
        <f t="shared" si="34"/>
        <v>16956164.760000017</v>
      </c>
      <c r="U67" s="41">
        <f t="shared" si="34"/>
        <v>21677600.620000038</v>
      </c>
      <c r="V67" s="65">
        <f t="shared" si="34"/>
        <v>18851684.549999997</v>
      </c>
      <c r="W67" s="65">
        <f t="shared" si="34"/>
        <v>23936115.609999996</v>
      </c>
      <c r="X67" s="41">
        <f t="shared" si="34"/>
        <v>2086692.5599999982</v>
      </c>
      <c r="Y67" s="41">
        <f t="shared" si="34"/>
        <v>30223960.900000036</v>
      </c>
      <c r="Z67" s="86">
        <f t="shared" si="34"/>
        <v>27902434.290000036</v>
      </c>
      <c r="AA67" s="86">
        <f t="shared" si="34"/>
        <v>22018225.400000006</v>
      </c>
      <c r="AB67" s="97">
        <f t="shared" si="34"/>
        <v>22223263.420000035</v>
      </c>
      <c r="AC67" s="86">
        <f t="shared" si="34"/>
        <v>20351233.610000003</v>
      </c>
      <c r="AD67" s="86">
        <f t="shared" si="34"/>
        <v>23021704</v>
      </c>
      <c r="AE67" s="86">
        <f t="shared" si="34"/>
        <v>3703063</v>
      </c>
      <c r="AF67" s="86">
        <f t="shared" si="34"/>
        <v>23788148</v>
      </c>
      <c r="AG67" s="86">
        <f t="shared" si="34"/>
        <v>24436967</v>
      </c>
      <c r="AH67" s="86">
        <f t="shared" si="34"/>
        <v>21379336</v>
      </c>
      <c r="AI67" s="86">
        <f t="shared" si="34"/>
        <v>23108728</v>
      </c>
      <c r="AJ67" s="86">
        <f t="shared" ref="AJ67:AO67" si="35">AJ61-AJ64</f>
        <v>17363839.75</v>
      </c>
      <c r="AK67" s="86">
        <f t="shared" si="35"/>
        <v>23884445.909999982</v>
      </c>
      <c r="AL67" s="86">
        <f t="shared" si="35"/>
        <v>-548416.44000000646</v>
      </c>
      <c r="AM67" s="86">
        <f t="shared" si="35"/>
        <v>28264919.298000015</v>
      </c>
      <c r="AN67" s="86">
        <f t="shared" si="35"/>
        <v>31344594.619999997</v>
      </c>
      <c r="AO67" s="86">
        <f t="shared" si="35"/>
        <v>19438928.419999987</v>
      </c>
      <c r="AP67" s="27" t="s">
        <v>47</v>
      </c>
      <c r="AQ67" s="86">
        <f>AQ61-AQ64</f>
        <v>21352605.696666669</v>
      </c>
      <c r="AR67" s="86">
        <f>AR61-AR64</f>
        <v>192173451.27000004</v>
      </c>
      <c r="AS67" s="86">
        <f t="shared" ref="AS67:AZ67" si="36">AS61-AS64</f>
        <v>26962687.94000002</v>
      </c>
      <c r="AT67" s="86">
        <f t="shared" si="36"/>
        <v>3291258</v>
      </c>
      <c r="AU67" s="86">
        <f t="shared" si="36"/>
        <v>34581945.219999999</v>
      </c>
      <c r="AV67" s="86">
        <f t="shared" si="36"/>
        <v>3976302</v>
      </c>
      <c r="AW67" s="86">
        <f t="shared" si="36"/>
        <v>28037250.94000002</v>
      </c>
      <c r="AX67" s="86">
        <f t="shared" si="36"/>
        <v>30726623.589999992</v>
      </c>
      <c r="AY67" s="86">
        <f t="shared" si="36"/>
        <v>18487550.129999958</v>
      </c>
      <c r="AZ67" s="86">
        <f t="shared" si="36"/>
        <v>20917704.719999984</v>
      </c>
      <c r="BA67" s="86">
        <f>BA61-BA64</f>
        <v>25192128.730000012</v>
      </c>
      <c r="BB67" s="86">
        <f>BB61-BB64</f>
        <v>31177324.920000006</v>
      </c>
      <c r="BC67" s="86">
        <f>BC61-BC64</f>
        <v>1811022.4699999932</v>
      </c>
    </row>
    <row r="68" spans="1:55" ht="15">
      <c r="A68" s="18"/>
      <c r="B68" s="18"/>
      <c r="C68" s="18"/>
      <c r="D68" s="18"/>
      <c r="E68" s="18"/>
      <c r="F68" s="18"/>
      <c r="G68" s="18"/>
      <c r="H68" s="18"/>
      <c r="I68" s="2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44"/>
      <c r="W68" s="58"/>
      <c r="X68" s="7"/>
      <c r="Y68" s="7"/>
      <c r="Z68" s="7"/>
      <c r="AA68" s="7"/>
      <c r="AB68" s="58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28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</row>
    <row r="69" spans="1:55" ht="15">
      <c r="A69" s="18"/>
      <c r="B69" s="18"/>
      <c r="C69" s="18"/>
      <c r="D69" s="18"/>
      <c r="E69" s="18"/>
      <c r="F69" s="18"/>
      <c r="G69" s="18"/>
      <c r="H69" s="18"/>
      <c r="I69" s="35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44"/>
      <c r="W69" s="58"/>
      <c r="X69" s="7"/>
      <c r="Y69" s="7"/>
      <c r="Z69" s="7"/>
      <c r="AA69" s="7"/>
      <c r="AB69" s="58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35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</row>
    <row r="70" spans="1:55" ht="15">
      <c r="A70" s="18"/>
      <c r="B70" s="18"/>
      <c r="C70" s="18"/>
      <c r="D70" s="18"/>
      <c r="E70" s="18"/>
      <c r="F70" s="18"/>
      <c r="G70" s="18"/>
      <c r="H70" s="18"/>
      <c r="I70" s="35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4"/>
      <c r="W70" s="58"/>
      <c r="X70" s="7"/>
      <c r="Y70" s="7"/>
      <c r="Z70" s="7"/>
      <c r="AA70" s="7"/>
      <c r="AB70" s="58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35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</row>
    <row r="71" spans="1:55" ht="16.5">
      <c r="A71" s="16"/>
      <c r="B71" s="16"/>
      <c r="C71" s="16"/>
      <c r="D71" s="16"/>
      <c r="E71" s="16"/>
      <c r="F71" s="16"/>
      <c r="G71" s="16"/>
      <c r="H71" s="16"/>
      <c r="I71" s="36" t="s">
        <v>48</v>
      </c>
      <c r="J71" s="16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44"/>
      <c r="W71" s="58"/>
      <c r="X71" s="7"/>
      <c r="Y71" s="7"/>
      <c r="Z71" s="7"/>
      <c r="AA71" s="7"/>
      <c r="AB71" s="58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36" t="s">
        <v>48</v>
      </c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</row>
    <row r="72" spans="1:55" ht="15">
      <c r="A72" s="37">
        <f t="shared" ref="A72:A77" si="37">+B72/30</f>
        <v>3982740.8003333337</v>
      </c>
      <c r="B72" s="37">
        <v>119482224.01000001</v>
      </c>
      <c r="C72" s="37">
        <f t="shared" ref="C72:C77" si="38">+D72/31</f>
        <v>3932435.552258064</v>
      </c>
      <c r="D72" s="37">
        <v>121905502.11999999</v>
      </c>
      <c r="E72" s="37">
        <f t="shared" ref="E72:E77" si="39">+F72/30</f>
        <v>4187873.726999999</v>
      </c>
      <c r="F72" s="37">
        <v>125636211.80999997</v>
      </c>
      <c r="G72" s="37">
        <f t="shared" ref="G72:G77" si="40">+H72/31</f>
        <v>4446968.1664516125</v>
      </c>
      <c r="H72" s="37">
        <v>137856013.16</v>
      </c>
      <c r="I72" s="38" t="s">
        <v>49</v>
      </c>
      <c r="J72" s="43">
        <f t="shared" ref="J72:J77" si="41">K72/31</f>
        <v>3520009.5329032266</v>
      </c>
      <c r="K72" s="18">
        <v>109120295.52000003</v>
      </c>
      <c r="L72" s="18">
        <f t="shared" ref="L72:L77" si="42">M72/30</f>
        <v>4151045.7993333335</v>
      </c>
      <c r="M72" s="43">
        <f>29955993.95+T72+U72+W72+V72+X72+Y72+Z72+AA72+AB72+AC72+AD72+AE72+AF72+AG72+AH72+AI72+AJ72+AK72+AL72+AM72+AN72+AO72</f>
        <v>124531373.98</v>
      </c>
      <c r="N72" s="45"/>
      <c r="O72" s="18"/>
      <c r="P72" s="18"/>
      <c r="Q72" s="18"/>
      <c r="R72" s="44"/>
      <c r="S72" s="18"/>
      <c r="T72" s="18">
        <v>4880026</v>
      </c>
      <c r="U72" s="18">
        <v>5094403.8899999997</v>
      </c>
      <c r="V72" s="44">
        <v>3831777</v>
      </c>
      <c r="W72" s="44">
        <v>3463956.74</v>
      </c>
      <c r="X72" s="44">
        <v>1808047</v>
      </c>
      <c r="Y72" s="18">
        <v>4841123</v>
      </c>
      <c r="Z72" s="18">
        <v>5224163.74</v>
      </c>
      <c r="AA72" s="18">
        <v>5293535.6899999995</v>
      </c>
      <c r="AB72" s="44">
        <v>5005058</v>
      </c>
      <c r="AC72" s="18">
        <v>5084775.8499999996</v>
      </c>
      <c r="AD72" s="18"/>
      <c r="AE72" s="18"/>
      <c r="AF72" s="18">
        <v>10488681.58</v>
      </c>
      <c r="AG72" s="18">
        <v>5205397.7</v>
      </c>
      <c r="AH72" s="18">
        <v>4467993.6400000006</v>
      </c>
      <c r="AI72" s="18">
        <v>5327910</v>
      </c>
      <c r="AJ72" s="18">
        <v>4701720</v>
      </c>
      <c r="AK72" s="18">
        <v>2979214</v>
      </c>
      <c r="AL72" s="18">
        <v>1831601</v>
      </c>
      <c r="AM72" s="18">
        <v>4779171.9000000004</v>
      </c>
      <c r="AN72" s="18">
        <v>5396393.5</v>
      </c>
      <c r="AO72" s="18">
        <v>4870429.8000000007</v>
      </c>
      <c r="AP72" s="38" t="s">
        <v>49</v>
      </c>
      <c r="AQ72" s="18">
        <f>AR72/6</f>
        <v>3581360.0249999999</v>
      </c>
      <c r="AR72" s="18">
        <f>AV72+AW72+AX72</f>
        <v>21488160.149999999</v>
      </c>
      <c r="AS72" s="18"/>
      <c r="AT72" s="18"/>
      <c r="AU72" s="18"/>
      <c r="AV72" s="18">
        <v>10381567.82</v>
      </c>
      <c r="AW72" s="18">
        <v>5658367</v>
      </c>
      <c r="AX72" s="18">
        <v>5448225.3300000001</v>
      </c>
      <c r="AY72" s="18">
        <v>4952579.46</v>
      </c>
      <c r="AZ72" s="18">
        <v>3910525.2600000002</v>
      </c>
      <c r="BA72" s="18">
        <v>3958841.5100000002</v>
      </c>
      <c r="BB72" s="18"/>
      <c r="BC72" s="18"/>
    </row>
    <row r="73" spans="1:55" ht="15">
      <c r="A73" s="37">
        <f t="shared" si="37"/>
        <v>11184211.133999998</v>
      </c>
      <c r="B73" s="18">
        <v>335526334.01999992</v>
      </c>
      <c r="C73" s="37">
        <f t="shared" si="38"/>
        <v>10581303.707419351</v>
      </c>
      <c r="D73" s="18">
        <v>328020414.92999989</v>
      </c>
      <c r="E73" s="37">
        <f t="shared" si="39"/>
        <v>11330743.754999997</v>
      </c>
      <c r="F73" s="18">
        <v>339922312.64999992</v>
      </c>
      <c r="G73" s="37">
        <f t="shared" si="40"/>
        <v>11866850.090322582</v>
      </c>
      <c r="H73" s="18">
        <v>367872352.80000007</v>
      </c>
      <c r="I73" s="38" t="s">
        <v>50</v>
      </c>
      <c r="J73" s="43">
        <f t="shared" si="41"/>
        <v>10974056.024516124</v>
      </c>
      <c r="K73" s="18">
        <v>340195736.75999987</v>
      </c>
      <c r="L73" s="18">
        <f t="shared" si="42"/>
        <v>11812941.439333331</v>
      </c>
      <c r="M73" s="43">
        <f>92334190.24+T73+U73+W73+V73+X73+Y73+Z73+AA73+AB73+AC73+AF73+AG73+AH73+AI73+AJ73+AK73+AL73+AM73+AN73+AO73</f>
        <v>354388243.17999995</v>
      </c>
      <c r="N73" s="45"/>
      <c r="O73" s="18"/>
      <c r="P73" s="18"/>
      <c r="Q73" s="18"/>
      <c r="R73" s="44"/>
      <c r="S73" s="18"/>
      <c r="T73" s="18">
        <v>12480052.620000001</v>
      </c>
      <c r="U73" s="18">
        <v>11210415.43</v>
      </c>
      <c r="V73" s="44">
        <v>11346874.690000001</v>
      </c>
      <c r="W73" s="44">
        <v>13168116.190000001</v>
      </c>
      <c r="X73" s="44">
        <v>14186935.669999998</v>
      </c>
      <c r="Y73" s="18">
        <v>17656524.669999998</v>
      </c>
      <c r="Z73" s="18">
        <v>13750626.160000002</v>
      </c>
      <c r="AA73" s="18">
        <v>13143907.200000001</v>
      </c>
      <c r="AB73" s="44">
        <v>11199323.09</v>
      </c>
      <c r="AC73" s="18">
        <v>10418757.26</v>
      </c>
      <c r="AD73" s="18"/>
      <c r="AE73" s="18"/>
      <c r="AF73" s="18">
        <v>31184316.199999999</v>
      </c>
      <c r="AG73" s="18">
        <v>13155749.16</v>
      </c>
      <c r="AH73" s="18">
        <v>13038750.660000002</v>
      </c>
      <c r="AI73" s="18">
        <v>12937560.51</v>
      </c>
      <c r="AJ73" s="18">
        <v>11937523.800000001</v>
      </c>
      <c r="AK73" s="18">
        <v>10063862</v>
      </c>
      <c r="AL73" s="18">
        <v>4351995</v>
      </c>
      <c r="AM73" s="18">
        <v>12228607.93</v>
      </c>
      <c r="AN73" s="18">
        <v>11936234.560000002</v>
      </c>
      <c r="AO73" s="18">
        <v>12657920.139999999</v>
      </c>
      <c r="AP73" s="38" t="s">
        <v>50</v>
      </c>
      <c r="AQ73" s="18">
        <f t="shared" ref="AQ73:AQ77" si="43">AR73/6</f>
        <v>9658740.0516666677</v>
      </c>
      <c r="AR73" s="18">
        <f t="shared" ref="AR73:AR77" si="44">AV73+AW73+AX73</f>
        <v>57952440.310000002</v>
      </c>
      <c r="AS73" s="18"/>
      <c r="AT73" s="18"/>
      <c r="AU73" s="18"/>
      <c r="AV73" s="18">
        <v>30182928.709999997</v>
      </c>
      <c r="AW73" s="18">
        <v>14986096.899999999</v>
      </c>
      <c r="AX73" s="18">
        <v>12783414.700000001</v>
      </c>
      <c r="AY73" s="18">
        <v>13406329</v>
      </c>
      <c r="AZ73" s="18">
        <v>12889444</v>
      </c>
      <c r="BA73" s="18">
        <v>12917552</v>
      </c>
      <c r="BB73" s="18">
        <v>11519403</v>
      </c>
      <c r="BC73" s="18"/>
    </row>
    <row r="74" spans="1:55" ht="15">
      <c r="A74" s="37">
        <f t="shared" si="37"/>
        <v>14119849.986333333</v>
      </c>
      <c r="B74" s="18">
        <v>423595499.58999997</v>
      </c>
      <c r="C74" s="37">
        <f t="shared" si="38"/>
        <v>12985167.719032256</v>
      </c>
      <c r="D74" s="18">
        <v>402540199.28999996</v>
      </c>
      <c r="E74" s="37">
        <f t="shared" si="39"/>
        <v>18774984.126666665</v>
      </c>
      <c r="F74" s="18">
        <v>563249523.79999995</v>
      </c>
      <c r="G74" s="37">
        <f t="shared" si="40"/>
        <v>14580834.98935484</v>
      </c>
      <c r="H74" s="18">
        <v>452005884.67000002</v>
      </c>
      <c r="I74" s="38" t="s">
        <v>51</v>
      </c>
      <c r="J74" s="43">
        <f t="shared" si="41"/>
        <v>13251764.838709677</v>
      </c>
      <c r="K74" s="18">
        <v>410804710</v>
      </c>
      <c r="L74" s="18">
        <f t="shared" si="42"/>
        <v>17034299.705999997</v>
      </c>
      <c r="M74" s="43">
        <f>103987060+T74+U74+V74+W74+X74+Y74+Z74+AA74+AB74+AC74+AF74+AG74+AH74+AI74+AJ74+AK74++AM74+AN74+AO74</f>
        <v>511028991.17999995</v>
      </c>
      <c r="N74" s="45"/>
      <c r="O74" s="18"/>
      <c r="P74" s="18"/>
      <c r="Q74" s="18"/>
      <c r="R74" s="44"/>
      <c r="S74" s="18"/>
      <c r="T74" s="18">
        <v>53297786</v>
      </c>
      <c r="U74" s="18">
        <v>15441668</v>
      </c>
      <c r="V74" s="44">
        <v>5317114.49</v>
      </c>
      <c r="W74" s="44">
        <v>2382543</v>
      </c>
      <c r="X74" s="44">
        <v>12441880</v>
      </c>
      <c r="Y74" s="18">
        <v>5800904</v>
      </c>
      <c r="Z74" s="18">
        <v>16069551</v>
      </c>
      <c r="AA74" s="18">
        <v>9884045</v>
      </c>
      <c r="AB74" s="44">
        <v>7850702</v>
      </c>
      <c r="AC74" s="18">
        <v>9241165</v>
      </c>
      <c r="AD74" s="18"/>
      <c r="AE74" s="18"/>
      <c r="AF74" s="18">
        <v>123734114</v>
      </c>
      <c r="AG74" s="18">
        <v>18386311.780000001</v>
      </c>
      <c r="AH74" s="18">
        <v>50087653.640000001</v>
      </c>
      <c r="AI74" s="18">
        <v>11988996.16</v>
      </c>
      <c r="AJ74" s="18">
        <v>16341379.600000001</v>
      </c>
      <c r="AK74" s="18">
        <v>2123889</v>
      </c>
      <c r="AL74" s="18">
        <v>2550185</v>
      </c>
      <c r="AM74" s="18">
        <v>28721509.770000003</v>
      </c>
      <c r="AN74" s="18">
        <v>9683121.8999999985</v>
      </c>
      <c r="AO74" s="18">
        <v>8247596.8400000008</v>
      </c>
      <c r="AP74" s="38" t="s">
        <v>51</v>
      </c>
      <c r="AQ74" s="18">
        <f t="shared" si="43"/>
        <v>25697614.165000003</v>
      </c>
      <c r="AR74" s="18">
        <f t="shared" si="44"/>
        <v>154185684.99000001</v>
      </c>
      <c r="AS74" s="18"/>
      <c r="AT74" s="18"/>
      <c r="AU74" s="18"/>
      <c r="AV74" s="18">
        <v>122174115.3</v>
      </c>
      <c r="AW74" s="18">
        <v>16574499.200000001</v>
      </c>
      <c r="AX74" s="18">
        <v>15437070.489999998</v>
      </c>
      <c r="AY74" s="18">
        <v>12975025.840000002</v>
      </c>
      <c r="AZ74" s="18">
        <v>7849235.0999999996</v>
      </c>
      <c r="BA74" s="18"/>
      <c r="BB74" s="18"/>
      <c r="BC74" s="18"/>
    </row>
    <row r="75" spans="1:55" ht="15">
      <c r="A75" s="37">
        <f t="shared" si="37"/>
        <v>286.89999999999998</v>
      </c>
      <c r="B75" s="18">
        <v>8607</v>
      </c>
      <c r="C75" s="37">
        <f t="shared" si="38"/>
        <v>577.29032258064512</v>
      </c>
      <c r="D75" s="18">
        <v>17896</v>
      </c>
      <c r="E75" s="37">
        <f t="shared" si="39"/>
        <v>441734.33333333331</v>
      </c>
      <c r="F75" s="18">
        <v>13252030</v>
      </c>
      <c r="G75" s="37">
        <f t="shared" si="40"/>
        <v>702.29032258064512</v>
      </c>
      <c r="H75" s="18">
        <v>21771</v>
      </c>
      <c r="I75" s="38" t="s">
        <v>52</v>
      </c>
      <c r="J75" s="43">
        <f t="shared" si="41"/>
        <v>0</v>
      </c>
      <c r="K75" s="18">
        <v>0</v>
      </c>
      <c r="L75" s="43">
        <f t="shared" si="42"/>
        <v>428468.36666666664</v>
      </c>
      <c r="M75" s="18">
        <f>AO75</f>
        <v>12854051</v>
      </c>
      <c r="N75" s="45"/>
      <c r="O75" s="18"/>
      <c r="P75" s="18"/>
      <c r="Q75" s="18"/>
      <c r="R75" s="44"/>
      <c r="S75" s="18"/>
      <c r="T75" s="18"/>
      <c r="U75" s="18"/>
      <c r="V75" s="44"/>
      <c r="W75" s="44"/>
      <c r="X75" s="44"/>
      <c r="Y75" s="18"/>
      <c r="Z75" s="18"/>
      <c r="AA75" s="18"/>
      <c r="AB75" s="44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>
        <v>12854051</v>
      </c>
      <c r="AP75" s="38" t="s">
        <v>52</v>
      </c>
      <c r="AQ75" s="18">
        <f t="shared" si="43"/>
        <v>0</v>
      </c>
      <c r="AR75" s="18">
        <f t="shared" si="44"/>
        <v>0</v>
      </c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</row>
    <row r="76" spans="1:55" ht="15">
      <c r="A76" s="37">
        <f t="shared" si="37"/>
        <v>310869.70833333331</v>
      </c>
      <c r="B76" s="18">
        <v>9326091.25</v>
      </c>
      <c r="C76" s="37">
        <f t="shared" si="38"/>
        <v>240149.77806451614</v>
      </c>
      <c r="D76" s="18">
        <v>7444643.1200000001</v>
      </c>
      <c r="E76" s="37">
        <f t="shared" si="39"/>
        <v>222971.52699999997</v>
      </c>
      <c r="F76" s="18">
        <v>6689145.8099999996</v>
      </c>
      <c r="G76" s="37">
        <f t="shared" si="40"/>
        <v>232771.13419354838</v>
      </c>
      <c r="H76" s="18">
        <v>7215905.1600000001</v>
      </c>
      <c r="I76" s="39" t="s">
        <v>53</v>
      </c>
      <c r="J76" s="43">
        <f t="shared" si="41"/>
        <v>176748.21032258062</v>
      </c>
      <c r="K76" s="18">
        <v>5479194.5199999996</v>
      </c>
      <c r="L76" s="18">
        <f t="shared" si="42"/>
        <v>267504.07366666663</v>
      </c>
      <c r="M76" s="43">
        <f>1457184.14+T76+U76+V76+W76+X76+Y76+Z76+AA76+AB76+AC76+AF76+AG76+AH76+AI76+AJ76+AK76+AL76+AM76+AN76+AO76</f>
        <v>8025122.209999999</v>
      </c>
      <c r="N76" s="45"/>
      <c r="O76" s="18"/>
      <c r="P76" s="18"/>
      <c r="Q76" s="18"/>
      <c r="R76" s="44"/>
      <c r="S76" s="18"/>
      <c r="T76" s="18">
        <v>204515</v>
      </c>
      <c r="U76" s="18">
        <v>218894</v>
      </c>
      <c r="V76" s="44">
        <v>211130</v>
      </c>
      <c r="W76" s="44">
        <v>200402</v>
      </c>
      <c r="X76" s="44">
        <v>23491</v>
      </c>
      <c r="Y76" s="18">
        <v>222861</v>
      </c>
      <c r="Z76" s="18">
        <v>136212</v>
      </c>
      <c r="AA76" s="18">
        <v>182680</v>
      </c>
      <c r="AB76" s="44">
        <v>244212</v>
      </c>
      <c r="AC76" s="18">
        <v>197384.07</v>
      </c>
      <c r="AD76" s="18"/>
      <c r="AE76" s="18"/>
      <c r="AF76" s="18">
        <v>502748</v>
      </c>
      <c r="AG76" s="18">
        <v>130995</v>
      </c>
      <c r="AH76" s="18">
        <v>192521</v>
      </c>
      <c r="AI76" s="18">
        <v>274127</v>
      </c>
      <c r="AJ76" s="18">
        <v>257087</v>
      </c>
      <c r="AK76" s="18">
        <v>271851</v>
      </c>
      <c r="AL76" s="18">
        <v>14268</v>
      </c>
      <c r="AM76" s="18">
        <v>143204</v>
      </c>
      <c r="AN76" s="18">
        <v>166406</v>
      </c>
      <c r="AO76" s="18">
        <v>2772950</v>
      </c>
      <c r="AP76" s="39" t="s">
        <v>53</v>
      </c>
      <c r="AQ76" s="18">
        <f t="shared" si="43"/>
        <v>761975.78833333345</v>
      </c>
      <c r="AR76" s="18">
        <f t="shared" si="44"/>
        <v>4571854.7300000004</v>
      </c>
      <c r="AS76" s="18"/>
      <c r="AT76" s="18"/>
      <c r="AU76" s="18"/>
      <c r="AV76" s="18">
        <v>4118590.73</v>
      </c>
      <c r="AW76" s="18">
        <v>249450</v>
      </c>
      <c r="AX76" s="18">
        <v>203814</v>
      </c>
      <c r="AY76" s="18">
        <v>184767</v>
      </c>
      <c r="AZ76" s="18">
        <v>233197.3</v>
      </c>
      <c r="BA76" s="18">
        <v>118028</v>
      </c>
      <c r="BB76" s="18"/>
      <c r="BC76" s="18"/>
    </row>
    <row r="77" spans="1:55" ht="15.75" thickBot="1">
      <c r="A77" s="37">
        <f t="shared" si="37"/>
        <v>1625686</v>
      </c>
      <c r="B77" s="18">
        <v>48770580</v>
      </c>
      <c r="C77" s="37">
        <f t="shared" si="38"/>
        <v>1786331.2258064516</v>
      </c>
      <c r="D77" s="18">
        <v>55376268</v>
      </c>
      <c r="E77" s="37">
        <f t="shared" si="39"/>
        <v>1627166.8666666667</v>
      </c>
      <c r="F77" s="18">
        <v>48815006</v>
      </c>
      <c r="G77" s="37">
        <f t="shared" si="40"/>
        <v>1557441.6774193549</v>
      </c>
      <c r="H77" s="18">
        <v>48280692</v>
      </c>
      <c r="I77" s="39" t="s">
        <v>54</v>
      </c>
      <c r="J77" s="43">
        <f t="shared" si="41"/>
        <v>1489781.1290322582</v>
      </c>
      <c r="K77" s="18">
        <v>46183215</v>
      </c>
      <c r="L77" s="18">
        <f t="shared" si="42"/>
        <v>2005265.4333333333</v>
      </c>
      <c r="M77" s="43">
        <f>11012000+T77+U77+V77+W77+X77+Y77+Z77+AA77+AB77+AC77+AF77+AG77+AH77+AI77+AJ77+AM77+AN77+AO77</f>
        <v>60157963</v>
      </c>
      <c r="N77" s="45"/>
      <c r="O77" s="18"/>
      <c r="P77" s="18"/>
      <c r="Q77" s="18"/>
      <c r="R77" s="44"/>
      <c r="S77" s="18"/>
      <c r="T77" s="18">
        <v>1996609</v>
      </c>
      <c r="U77" s="18">
        <v>1293776</v>
      </c>
      <c r="V77" s="44">
        <v>1413522</v>
      </c>
      <c r="W77" s="83">
        <v>3113860</v>
      </c>
      <c r="X77" s="83">
        <v>0</v>
      </c>
      <c r="Y77" s="83">
        <v>0</v>
      </c>
      <c r="Z77" s="87">
        <v>3801991</v>
      </c>
      <c r="AA77" s="87">
        <v>3474673</v>
      </c>
      <c r="AB77" s="88">
        <v>1546235</v>
      </c>
      <c r="AC77" s="18">
        <v>3612723</v>
      </c>
      <c r="AD77" s="18"/>
      <c r="AE77" s="18"/>
      <c r="AF77" s="18">
        <v>2801857</v>
      </c>
      <c r="AG77" s="18">
        <v>4048058</v>
      </c>
      <c r="AH77" s="18">
        <v>0</v>
      </c>
      <c r="AI77" s="18">
        <v>3097083</v>
      </c>
      <c r="AJ77" s="18">
        <v>3132889</v>
      </c>
      <c r="AK77" s="18"/>
      <c r="AL77" s="18"/>
      <c r="AM77" s="18">
        <v>2061806</v>
      </c>
      <c r="AN77" s="18">
        <v>3846143</v>
      </c>
      <c r="AO77" s="18">
        <v>9904738</v>
      </c>
      <c r="AP77" s="39" t="s">
        <v>54</v>
      </c>
      <c r="AQ77" s="18">
        <f t="shared" si="43"/>
        <v>1703820.3333333333</v>
      </c>
      <c r="AR77" s="18">
        <f t="shared" si="44"/>
        <v>10222922</v>
      </c>
      <c r="AS77" s="18"/>
      <c r="AT77" s="18"/>
      <c r="AU77" s="18"/>
      <c r="AV77" s="18">
        <v>6898376</v>
      </c>
      <c r="AW77" s="18">
        <v>1825875</v>
      </c>
      <c r="AX77" s="18">
        <v>1498671</v>
      </c>
      <c r="AY77" s="18">
        <v>1557633</v>
      </c>
      <c r="AZ77" s="18">
        <v>1799484</v>
      </c>
      <c r="BA77" s="18"/>
      <c r="BB77" s="18"/>
      <c r="BC77" s="18"/>
    </row>
    <row r="78" spans="1:55" ht="17.25" thickBot="1">
      <c r="A78" s="26">
        <f t="shared" ref="A78:H78" si="45">+A72+A73+A74+A75-A76-A77</f>
        <v>27350533.112333331</v>
      </c>
      <c r="B78" s="26">
        <f t="shared" si="45"/>
        <v>820515993.36999989</v>
      </c>
      <c r="C78" s="26">
        <f t="shared" si="45"/>
        <v>25473003.26516128</v>
      </c>
      <c r="D78" s="26">
        <f t="shared" si="45"/>
        <v>789663101.21999991</v>
      </c>
      <c r="E78" s="26">
        <f t="shared" si="45"/>
        <v>32885197.548333324</v>
      </c>
      <c r="F78" s="26">
        <f t="shared" si="45"/>
        <v>986555926.44999993</v>
      </c>
      <c r="G78" s="26">
        <f t="shared" si="45"/>
        <v>29105142.724838715</v>
      </c>
      <c r="H78" s="26">
        <f t="shared" si="45"/>
        <v>902259424.47000015</v>
      </c>
      <c r="I78" s="40" t="s">
        <v>55</v>
      </c>
      <c r="J78" s="50">
        <f>SUM(J72:J77)</f>
        <v>29412359.735483866</v>
      </c>
      <c r="K78" s="50">
        <f t="shared" ref="K78:AI78" si="46">K72+K73+K74-K76-K77</f>
        <v>808458332.75999999</v>
      </c>
      <c r="L78" s="50">
        <f t="shared" si="46"/>
        <v>30725517.437666662</v>
      </c>
      <c r="M78" s="50">
        <f t="shared" si="46"/>
        <v>921765523.12999988</v>
      </c>
      <c r="N78" s="50">
        <f t="shared" si="46"/>
        <v>0</v>
      </c>
      <c r="O78" s="50">
        <f t="shared" si="46"/>
        <v>0</v>
      </c>
      <c r="P78" s="50">
        <f t="shared" si="46"/>
        <v>0</v>
      </c>
      <c r="Q78" s="50">
        <f t="shared" si="46"/>
        <v>0</v>
      </c>
      <c r="R78" s="50">
        <f t="shared" si="46"/>
        <v>0</v>
      </c>
      <c r="S78" s="50">
        <f t="shared" si="46"/>
        <v>0</v>
      </c>
      <c r="T78" s="50">
        <f t="shared" si="46"/>
        <v>68456740.620000005</v>
      </c>
      <c r="U78" s="50">
        <f t="shared" si="46"/>
        <v>30233817.32</v>
      </c>
      <c r="V78" s="50">
        <f t="shared" si="46"/>
        <v>18871114.18</v>
      </c>
      <c r="W78" s="84">
        <f t="shared" si="46"/>
        <v>15700353.93</v>
      </c>
      <c r="X78" s="77">
        <f t="shared" si="46"/>
        <v>28413371.669999998</v>
      </c>
      <c r="Y78" s="77">
        <f t="shared" si="46"/>
        <v>28075690.669999998</v>
      </c>
      <c r="Z78" s="77">
        <f t="shared" si="46"/>
        <v>31106137.900000006</v>
      </c>
      <c r="AA78" s="77">
        <f t="shared" si="46"/>
        <v>24664134.890000001</v>
      </c>
      <c r="AB78" s="84">
        <f t="shared" si="46"/>
        <v>22264636.09</v>
      </c>
      <c r="AC78" s="98">
        <f t="shared" si="46"/>
        <v>20934591.039999999</v>
      </c>
      <c r="AD78" s="98">
        <f t="shared" si="46"/>
        <v>0</v>
      </c>
      <c r="AE78" s="98">
        <f t="shared" si="46"/>
        <v>0</v>
      </c>
      <c r="AF78" s="98">
        <f t="shared" si="46"/>
        <v>162102506.78</v>
      </c>
      <c r="AG78" s="98">
        <f t="shared" si="46"/>
        <v>32568405.640000001</v>
      </c>
      <c r="AH78" s="98">
        <f t="shared" si="46"/>
        <v>67401876.939999998</v>
      </c>
      <c r="AI78" s="98">
        <f t="shared" si="46"/>
        <v>26883256.669999998</v>
      </c>
      <c r="AJ78" s="98">
        <f>AJ72+AJ73+AJ74-AJ76-AJ77</f>
        <v>29590647.400000002</v>
      </c>
      <c r="AK78" s="98">
        <f>AK72+AK73+AK74-AK76</f>
        <v>14895114</v>
      </c>
      <c r="AL78" s="98">
        <f>AL72+AL73+AL74-AL76</f>
        <v>8719513</v>
      </c>
      <c r="AM78" s="98">
        <f>AM72+AM73+AM74-AM76-AM77</f>
        <v>43524279.600000001</v>
      </c>
      <c r="AN78" s="98">
        <f>AN72+AN73+AN74-AN76-AN77</f>
        <v>23003200.960000001</v>
      </c>
      <c r="AO78" s="98">
        <f>AO72+AO73+AO74+AO75-AO76-AO77</f>
        <v>25952309.780000001</v>
      </c>
      <c r="AP78" s="40" t="s">
        <v>55</v>
      </c>
      <c r="AQ78" s="98">
        <f>AQ72+AQ73+AQ74+AQ75-AQ76-AQ77</f>
        <v>36471918.120000005</v>
      </c>
      <c r="AR78" s="98">
        <f>AR72+AR73+AR74++AR75-AR76-AR77</f>
        <v>218831508.72000003</v>
      </c>
      <c r="AS78" s="98"/>
      <c r="AT78" s="98"/>
      <c r="AU78" s="98"/>
      <c r="AV78" s="98">
        <f>AV72+AV73+AV74+AV75-AV76-AV77</f>
        <v>151721645.09999999</v>
      </c>
      <c r="AW78" s="98">
        <f>AW72+AW73+AW74-AW76-AW77</f>
        <v>35143638.100000001</v>
      </c>
      <c r="AX78" s="98">
        <f>AX72+AX73+AX74-AX76-AX77</f>
        <v>31966225.519999996</v>
      </c>
      <c r="AY78" s="98">
        <f>AY72+AY73+AY74-AY76-AY77</f>
        <v>29591534.300000004</v>
      </c>
      <c r="AZ78" s="98">
        <f>AZ72+AZ73+AZ74-AZ76-AZ77</f>
        <v>22616523.059999999</v>
      </c>
      <c r="BA78" s="98"/>
      <c r="BB78" s="98"/>
      <c r="BC78" s="98"/>
    </row>
    <row r="79" spans="1:55">
      <c r="J79" s="66"/>
    </row>
    <row r="83" spans="38:38">
      <c r="AL83" s="6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3" sqref="D3:D23"/>
    </sheetView>
  </sheetViews>
  <sheetFormatPr defaultRowHeight="14.25"/>
  <cols>
    <col min="1" max="1" width="42.5" bestFit="1" customWidth="1"/>
    <col min="4" max="4" width="14.625" bestFit="1" customWidth="1"/>
  </cols>
  <sheetData>
    <row r="1" spans="1:7" ht="15">
      <c r="A1" s="104" t="s">
        <v>111</v>
      </c>
      <c r="B1" s="109"/>
      <c r="C1" s="109"/>
      <c r="D1" s="109"/>
      <c r="E1" s="109"/>
      <c r="F1" s="109"/>
      <c r="G1" s="109"/>
    </row>
    <row r="2" spans="1:7" ht="75">
      <c r="A2" s="105" t="s">
        <v>81</v>
      </c>
      <c r="B2" s="110" t="s">
        <v>15</v>
      </c>
      <c r="C2" s="110" t="s">
        <v>82</v>
      </c>
      <c r="D2" s="106" t="s">
        <v>16</v>
      </c>
      <c r="E2" s="106" t="s">
        <v>112</v>
      </c>
      <c r="F2" s="106" t="s">
        <v>113</v>
      </c>
      <c r="G2" s="106" t="s">
        <v>83</v>
      </c>
    </row>
    <row r="3" spans="1:7" ht="15">
      <c r="A3" s="107" t="s">
        <v>84</v>
      </c>
      <c r="B3" s="108">
        <v>30</v>
      </c>
      <c r="C3" s="108">
        <v>3</v>
      </c>
      <c r="D3" s="108">
        <v>27</v>
      </c>
      <c r="E3" s="108">
        <v>0</v>
      </c>
      <c r="F3" s="108">
        <v>0</v>
      </c>
      <c r="G3" s="108">
        <v>90</v>
      </c>
    </row>
    <row r="4" spans="1:7" ht="15">
      <c r="A4" s="107" t="s">
        <v>104</v>
      </c>
      <c r="B4" s="108">
        <v>244</v>
      </c>
      <c r="C4" s="108">
        <v>232</v>
      </c>
      <c r="D4" s="108"/>
      <c r="E4" s="108">
        <v>0</v>
      </c>
      <c r="F4" s="108">
        <v>0</v>
      </c>
      <c r="G4" s="108">
        <v>5</v>
      </c>
    </row>
    <row r="5" spans="1:7" ht="15">
      <c r="A5" s="107" t="s">
        <v>105</v>
      </c>
      <c r="B5" s="108">
        <v>52</v>
      </c>
      <c r="C5" s="108">
        <v>51</v>
      </c>
      <c r="D5" s="108"/>
      <c r="E5" s="108">
        <v>0</v>
      </c>
      <c r="F5" s="108">
        <v>0</v>
      </c>
      <c r="G5" s="108">
        <v>2</v>
      </c>
    </row>
    <row r="6" spans="1:7" ht="15">
      <c r="A6" s="107" t="s">
        <v>106</v>
      </c>
      <c r="B6" s="108">
        <v>12</v>
      </c>
      <c r="C6" s="108">
        <v>11</v>
      </c>
      <c r="D6" s="108"/>
      <c r="E6" s="108">
        <v>0</v>
      </c>
      <c r="F6" s="108">
        <v>0</v>
      </c>
      <c r="G6" s="108">
        <v>8</v>
      </c>
    </row>
    <row r="7" spans="1:7" ht="15">
      <c r="A7" s="107" t="s">
        <v>85</v>
      </c>
      <c r="B7" s="108">
        <v>359</v>
      </c>
      <c r="C7" s="108">
        <v>205</v>
      </c>
      <c r="D7" s="108">
        <v>151</v>
      </c>
      <c r="E7" s="108">
        <v>3</v>
      </c>
      <c r="F7" s="108">
        <v>0</v>
      </c>
      <c r="G7" s="108">
        <v>42</v>
      </c>
    </row>
    <row r="8" spans="1:7" ht="15">
      <c r="A8" s="107" t="s">
        <v>86</v>
      </c>
      <c r="B8" s="108">
        <v>35</v>
      </c>
      <c r="C8" s="108">
        <v>10</v>
      </c>
      <c r="D8" s="108">
        <v>25</v>
      </c>
      <c r="E8" s="108">
        <v>0</v>
      </c>
      <c r="F8" s="108">
        <v>0</v>
      </c>
      <c r="G8" s="108">
        <v>71</v>
      </c>
    </row>
    <row r="9" spans="1:7" ht="15">
      <c r="A9" s="107" t="s">
        <v>87</v>
      </c>
      <c r="B9" s="108">
        <v>22</v>
      </c>
      <c r="C9" s="108">
        <v>15</v>
      </c>
      <c r="D9" s="108">
        <v>7</v>
      </c>
      <c r="E9" s="108">
        <v>0</v>
      </c>
      <c r="F9" s="108">
        <v>0</v>
      </c>
      <c r="G9" s="108">
        <v>32</v>
      </c>
    </row>
    <row r="10" spans="1:7" ht="15">
      <c r="A10" s="107" t="s">
        <v>88</v>
      </c>
      <c r="B10" s="108">
        <v>231</v>
      </c>
      <c r="C10" s="108">
        <v>52</v>
      </c>
      <c r="D10" s="108">
        <v>175</v>
      </c>
      <c r="E10" s="108">
        <v>4</v>
      </c>
      <c r="F10" s="108">
        <v>0</v>
      </c>
      <c r="G10" s="108">
        <v>76</v>
      </c>
    </row>
    <row r="11" spans="1:7" ht="15">
      <c r="A11" s="107" t="s">
        <v>89</v>
      </c>
      <c r="B11" s="108">
        <v>11</v>
      </c>
      <c r="C11" s="108">
        <v>1</v>
      </c>
      <c r="D11" s="108">
        <v>10</v>
      </c>
      <c r="E11" s="108">
        <v>0</v>
      </c>
      <c r="F11" s="108">
        <v>0</v>
      </c>
      <c r="G11" s="108">
        <v>91</v>
      </c>
    </row>
    <row r="12" spans="1:7" ht="15">
      <c r="A12" s="107" t="s">
        <v>90</v>
      </c>
      <c r="B12" s="108">
        <v>7</v>
      </c>
      <c r="C12" s="108">
        <v>7</v>
      </c>
      <c r="D12" s="108">
        <v>0</v>
      </c>
      <c r="E12" s="108">
        <v>0</v>
      </c>
      <c r="F12" s="108">
        <v>0</v>
      </c>
      <c r="G12" s="108">
        <v>0</v>
      </c>
    </row>
    <row r="13" spans="1:7" ht="15">
      <c r="A13" s="107" t="s">
        <v>107</v>
      </c>
      <c r="B13" s="108">
        <v>26</v>
      </c>
      <c r="C13" s="108">
        <v>13</v>
      </c>
      <c r="D13" s="108"/>
      <c r="E13" s="108">
        <v>2</v>
      </c>
      <c r="F13" s="108">
        <v>0</v>
      </c>
      <c r="G13" s="108">
        <v>42</v>
      </c>
    </row>
    <row r="14" spans="1:7" ht="15">
      <c r="A14" s="107" t="s">
        <v>91</v>
      </c>
      <c r="B14" s="108">
        <v>7</v>
      </c>
      <c r="C14" s="108">
        <v>7</v>
      </c>
      <c r="D14" s="108">
        <v>0</v>
      </c>
      <c r="E14" s="108">
        <v>0</v>
      </c>
      <c r="F14" s="108">
        <v>0</v>
      </c>
      <c r="G14" s="108">
        <v>0</v>
      </c>
    </row>
    <row r="15" spans="1:7" ht="15">
      <c r="A15" s="107" t="s">
        <v>108</v>
      </c>
      <c r="B15" s="108">
        <v>104</v>
      </c>
      <c r="C15" s="108">
        <v>92</v>
      </c>
      <c r="D15" s="108"/>
      <c r="E15" s="108">
        <v>0</v>
      </c>
      <c r="F15" s="108">
        <v>0</v>
      </c>
      <c r="G15" s="108">
        <v>12</v>
      </c>
    </row>
    <row r="16" spans="1:7" ht="15">
      <c r="A16" s="107" t="s">
        <v>109</v>
      </c>
      <c r="B16" s="108">
        <v>83</v>
      </c>
      <c r="C16" s="108">
        <v>79</v>
      </c>
      <c r="D16" s="108"/>
      <c r="E16" s="108">
        <v>0</v>
      </c>
      <c r="F16" s="108">
        <v>0</v>
      </c>
      <c r="G16" s="108">
        <v>2</v>
      </c>
    </row>
    <row r="17" spans="1:7" ht="15">
      <c r="A17" s="107" t="s">
        <v>92</v>
      </c>
      <c r="B17" s="108">
        <v>79</v>
      </c>
      <c r="C17" s="108">
        <v>7</v>
      </c>
      <c r="D17" s="108">
        <v>72</v>
      </c>
      <c r="E17" s="108">
        <v>0</v>
      </c>
      <c r="F17" s="108">
        <v>0</v>
      </c>
      <c r="G17" s="108">
        <v>91</v>
      </c>
    </row>
    <row r="18" spans="1:7" ht="15">
      <c r="A18" s="107" t="s">
        <v>93</v>
      </c>
      <c r="B18" s="108">
        <v>144</v>
      </c>
      <c r="C18" s="108">
        <v>50</v>
      </c>
      <c r="D18" s="108">
        <v>93</v>
      </c>
      <c r="E18" s="108">
        <v>1</v>
      </c>
      <c r="F18" s="108">
        <v>0</v>
      </c>
      <c r="G18" s="108">
        <v>65</v>
      </c>
    </row>
    <row r="19" spans="1:7" ht="15">
      <c r="A19" s="107" t="s">
        <v>94</v>
      </c>
      <c r="B19" s="108">
        <v>39</v>
      </c>
      <c r="C19" s="108">
        <v>19</v>
      </c>
      <c r="D19" s="108">
        <v>20</v>
      </c>
      <c r="E19" s="108">
        <v>0</v>
      </c>
      <c r="F19" s="108">
        <v>0</v>
      </c>
      <c r="G19" s="108">
        <v>51</v>
      </c>
    </row>
    <row r="20" spans="1:7" ht="15">
      <c r="A20" s="107" t="s">
        <v>95</v>
      </c>
      <c r="B20" s="108">
        <v>60</v>
      </c>
      <c r="C20" s="108">
        <v>9</v>
      </c>
      <c r="D20" s="108">
        <v>51</v>
      </c>
      <c r="E20" s="108">
        <v>0</v>
      </c>
      <c r="F20" s="108">
        <v>0</v>
      </c>
      <c r="G20" s="108">
        <v>85</v>
      </c>
    </row>
    <row r="21" spans="1:7" ht="15">
      <c r="A21" s="107" t="s">
        <v>96</v>
      </c>
      <c r="B21" s="108">
        <v>4</v>
      </c>
      <c r="C21" s="108">
        <v>0</v>
      </c>
      <c r="D21" s="108">
        <v>4</v>
      </c>
      <c r="E21" s="108">
        <v>0</v>
      </c>
      <c r="F21" s="108">
        <v>0</v>
      </c>
      <c r="G21" s="108">
        <v>100</v>
      </c>
    </row>
    <row r="22" spans="1:7" ht="15">
      <c r="A22" s="107" t="s">
        <v>97</v>
      </c>
      <c r="B22" s="108">
        <v>8</v>
      </c>
      <c r="C22" s="108">
        <v>4</v>
      </c>
      <c r="D22" s="108">
        <v>4</v>
      </c>
      <c r="E22" s="108">
        <v>0</v>
      </c>
      <c r="F22" s="108">
        <v>0</v>
      </c>
      <c r="G22" s="108">
        <v>50</v>
      </c>
    </row>
    <row r="23" spans="1:7" ht="15">
      <c r="A23" s="107" t="s">
        <v>98</v>
      </c>
      <c r="B23" s="108">
        <v>458</v>
      </c>
      <c r="C23" s="108">
        <v>53</v>
      </c>
      <c r="D23" s="108">
        <v>399</v>
      </c>
      <c r="E23" s="108">
        <v>4</v>
      </c>
      <c r="F23" s="108">
        <v>2</v>
      </c>
      <c r="G23" s="108">
        <v>87</v>
      </c>
    </row>
    <row r="24" spans="1:7" ht="15">
      <c r="A24" s="107" t="s">
        <v>99</v>
      </c>
      <c r="B24" s="108">
        <v>2015</v>
      </c>
      <c r="C24" s="108">
        <v>920</v>
      </c>
      <c r="D24" s="108">
        <v>1077</v>
      </c>
      <c r="E24" s="108">
        <v>14</v>
      </c>
      <c r="F24" s="108">
        <v>2</v>
      </c>
      <c r="G24" s="108">
        <v>53</v>
      </c>
    </row>
    <row r="25" spans="1:7" ht="15">
      <c r="A25" s="107"/>
      <c r="B25" s="108"/>
      <c r="C25" s="108"/>
      <c r="D25" s="108"/>
      <c r="E25" s="108"/>
      <c r="F25" s="108"/>
      <c r="G25" s="10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79"/>
  <sheetViews>
    <sheetView topLeftCell="B55" workbookViewId="0">
      <selection activeCell="G71" sqref="G71"/>
    </sheetView>
  </sheetViews>
  <sheetFormatPr defaultRowHeight="14.25"/>
  <cols>
    <col min="1" max="1" width="17.625" customWidth="1"/>
    <col min="2" max="2" width="17" customWidth="1"/>
    <col min="3" max="3" width="16.125" customWidth="1"/>
    <col min="4" max="4" width="17.375" customWidth="1"/>
    <col min="5" max="5" width="16.125" customWidth="1"/>
    <col min="6" max="6" width="16.25" customWidth="1"/>
    <col min="7" max="7" width="13.125" customWidth="1"/>
    <col min="8" max="8" width="16.25" customWidth="1"/>
    <col min="9" max="9" width="42" customWidth="1"/>
    <col min="10" max="10" width="13.125" bestFit="1" customWidth="1"/>
    <col min="11" max="11" width="14.25" bestFit="1" customWidth="1"/>
    <col min="12" max="12" width="13.125" bestFit="1" customWidth="1"/>
  </cols>
  <sheetData>
    <row r="3" spans="1:12" ht="20.25">
      <c r="A3" s="1" t="s">
        <v>0</v>
      </c>
      <c r="B3" s="1"/>
      <c r="C3" s="1"/>
    </row>
    <row r="4" spans="1:12" ht="21" thickBot="1">
      <c r="A4" s="2" t="s">
        <v>1</v>
      </c>
    </row>
    <row r="5" spans="1:12" ht="30.75" thickBo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4" t="s">
        <v>10</v>
      </c>
      <c r="J5" s="3" t="s">
        <v>11</v>
      </c>
      <c r="K5" s="3" t="s">
        <v>12</v>
      </c>
      <c r="L5" s="3" t="s">
        <v>13</v>
      </c>
    </row>
    <row r="6" spans="1:12" ht="15.75">
      <c r="A6" s="5"/>
      <c r="B6" s="5"/>
      <c r="C6" s="5"/>
      <c r="D6" s="5"/>
      <c r="E6" s="5"/>
      <c r="F6" s="5"/>
      <c r="G6" s="5"/>
      <c r="H6" s="5"/>
      <c r="I6" s="6"/>
      <c r="J6" s="5"/>
      <c r="K6" s="5"/>
      <c r="L6" s="5"/>
    </row>
    <row r="7" spans="1:12" ht="16.5">
      <c r="A7" s="7"/>
      <c r="B7" s="7"/>
      <c r="C7" s="7"/>
      <c r="D7" s="7"/>
      <c r="E7" s="7"/>
      <c r="F7" s="7"/>
      <c r="G7" s="7"/>
      <c r="H7" s="7"/>
      <c r="I7" s="8" t="s">
        <v>14</v>
      </c>
      <c r="J7" s="7"/>
      <c r="K7" s="7"/>
      <c r="L7" s="7"/>
    </row>
    <row r="8" spans="1:12" ht="15.75">
      <c r="A8" s="7">
        <v>1000</v>
      </c>
      <c r="B8" s="7">
        <v>1000</v>
      </c>
      <c r="C8" s="7">
        <v>1000</v>
      </c>
      <c r="D8" s="7">
        <v>1000</v>
      </c>
      <c r="E8" s="7">
        <v>1000</v>
      </c>
      <c r="F8" s="7">
        <v>30000</v>
      </c>
      <c r="G8" s="7">
        <v>1000</v>
      </c>
      <c r="H8" s="7">
        <v>31000</v>
      </c>
      <c r="I8" s="9" t="s">
        <v>15</v>
      </c>
      <c r="J8" s="7">
        <v>1000</v>
      </c>
      <c r="K8" s="7">
        <v>24000</v>
      </c>
      <c r="L8" s="7">
        <v>1000</v>
      </c>
    </row>
    <row r="9" spans="1:12" ht="15.75">
      <c r="A9" s="10">
        <v>930.33333333333337</v>
      </c>
      <c r="B9" s="10">
        <v>930.33333333333337</v>
      </c>
      <c r="C9" s="11">
        <v>967</v>
      </c>
      <c r="D9" s="11">
        <v>967</v>
      </c>
      <c r="E9" s="11">
        <v>983.5</v>
      </c>
      <c r="F9" s="7">
        <v>29505</v>
      </c>
      <c r="G9" s="11">
        <v>984.45161290322585</v>
      </c>
      <c r="H9" s="7">
        <v>30518</v>
      </c>
      <c r="I9" s="9" t="s">
        <v>16</v>
      </c>
      <c r="J9" s="11">
        <v>933.20833333333337</v>
      </c>
      <c r="K9" s="11">
        <v>22397</v>
      </c>
      <c r="L9" s="11">
        <v>866</v>
      </c>
    </row>
    <row r="10" spans="1:12" ht="15">
      <c r="A10" s="12">
        <v>0.93033333333333335</v>
      </c>
      <c r="B10" s="12">
        <v>0.93033333333333335</v>
      </c>
      <c r="C10" s="12">
        <v>0.96699999999999997</v>
      </c>
      <c r="D10" s="12">
        <v>0.96699999999999997</v>
      </c>
      <c r="E10" s="12">
        <v>0.98350000000000004</v>
      </c>
      <c r="F10" s="12">
        <v>0.98350000000000004</v>
      </c>
      <c r="G10" s="12">
        <v>0.9844516129032258</v>
      </c>
      <c r="H10" s="12">
        <v>0.9844516129032258</v>
      </c>
      <c r="I10" s="13" t="s">
        <v>17</v>
      </c>
      <c r="J10" s="12">
        <v>0.93320833333333342</v>
      </c>
      <c r="K10" s="12">
        <v>0.93320833333333331</v>
      </c>
      <c r="L10" s="12">
        <v>0.86599999999999999</v>
      </c>
    </row>
    <row r="11" spans="1:12" ht="15">
      <c r="A11" s="10"/>
      <c r="B11" s="10"/>
      <c r="C11" s="10"/>
      <c r="D11" s="10"/>
      <c r="E11" s="10"/>
      <c r="F11" s="10"/>
      <c r="G11" s="10"/>
      <c r="H11" s="10"/>
      <c r="I11" s="14"/>
      <c r="J11" s="10"/>
      <c r="K11" s="10"/>
      <c r="L11" s="10"/>
    </row>
    <row r="12" spans="1:12" ht="16.5">
      <c r="A12" s="10"/>
      <c r="B12" s="10"/>
      <c r="C12" s="10"/>
      <c r="D12" s="10"/>
      <c r="E12" s="10"/>
      <c r="F12" s="10"/>
      <c r="G12" s="10"/>
      <c r="H12" s="10"/>
      <c r="I12" s="15" t="s">
        <v>18</v>
      </c>
      <c r="J12" s="10"/>
      <c r="K12" s="10"/>
      <c r="L12" s="10"/>
    </row>
    <row r="13" spans="1:12" ht="15.75">
      <c r="A13" s="16">
        <v>345.4</v>
      </c>
      <c r="B13" s="16">
        <v>10362</v>
      </c>
      <c r="C13" s="16">
        <v>356.48387096774195</v>
      </c>
      <c r="D13" s="16">
        <v>11051</v>
      </c>
      <c r="E13" s="16">
        <v>386.16666666666669</v>
      </c>
      <c r="F13" s="16">
        <v>11585</v>
      </c>
      <c r="G13" s="16">
        <v>422</v>
      </c>
      <c r="H13" s="16">
        <v>13082</v>
      </c>
      <c r="I13" s="17" t="s">
        <v>19</v>
      </c>
      <c r="J13" s="16">
        <v>363.20833333333331</v>
      </c>
      <c r="K13" s="16">
        <v>8717</v>
      </c>
      <c r="L13" s="16">
        <v>433</v>
      </c>
    </row>
    <row r="14" spans="1:12" ht="15.75">
      <c r="A14" s="16">
        <v>3003.3666666666668</v>
      </c>
      <c r="B14" s="16">
        <v>90101</v>
      </c>
      <c r="C14" s="16">
        <v>3099.8064516129034</v>
      </c>
      <c r="D14" s="16">
        <v>96094</v>
      </c>
      <c r="E14" s="16">
        <v>3273.0333333333333</v>
      </c>
      <c r="F14" s="16">
        <v>98191</v>
      </c>
      <c r="G14" s="16">
        <v>3463.3225806451615</v>
      </c>
      <c r="H14" s="16">
        <v>107363</v>
      </c>
      <c r="I14" s="17" t="s">
        <v>20</v>
      </c>
      <c r="J14" s="16">
        <v>2930.0833333333335</v>
      </c>
      <c r="K14" s="16">
        <v>70322</v>
      </c>
      <c r="L14" s="16">
        <v>3633</v>
      </c>
    </row>
    <row r="15" spans="1:12" ht="15.75">
      <c r="A15" s="16">
        <f t="shared" ref="A15:E15" si="0">+A16+A17+A18+A19+A20</f>
        <v>154.06666666666666</v>
      </c>
      <c r="B15" s="16">
        <f t="shared" si="0"/>
        <v>4622</v>
      </c>
      <c r="C15" s="16">
        <f t="shared" si="0"/>
        <v>158.58064516129033</v>
      </c>
      <c r="D15" s="16">
        <f t="shared" si="0"/>
        <v>4916</v>
      </c>
      <c r="E15" s="16">
        <f t="shared" si="0"/>
        <v>170.20000000000002</v>
      </c>
      <c r="F15" s="16">
        <f>+F16+F17+F18+F19+F20</f>
        <v>5106</v>
      </c>
      <c r="G15" s="16">
        <f t="shared" ref="G15:H15" si="1">+G16+G17+G18+G19+G20</f>
        <v>170.54838709677418</v>
      </c>
      <c r="H15" s="16">
        <f t="shared" si="1"/>
        <v>5287</v>
      </c>
      <c r="I15" s="17" t="s">
        <v>21</v>
      </c>
      <c r="J15" s="16">
        <v>154.375</v>
      </c>
      <c r="K15" s="16">
        <v>3705</v>
      </c>
      <c r="L15" s="16">
        <v>139</v>
      </c>
    </row>
    <row r="16" spans="1:12" ht="15">
      <c r="A16" s="18">
        <f>+B16/30</f>
        <v>84.966666666666669</v>
      </c>
      <c r="B16" s="18">
        <v>2549</v>
      </c>
      <c r="C16" s="18">
        <f>+D16/31</f>
        <v>88.483870967741936</v>
      </c>
      <c r="D16" s="18">
        <v>2743</v>
      </c>
      <c r="E16" s="18">
        <f>+F16/30</f>
        <v>94.033333333333331</v>
      </c>
      <c r="F16" s="18">
        <v>2821</v>
      </c>
      <c r="G16" s="18">
        <f>+H16/31</f>
        <v>94.806451612903231</v>
      </c>
      <c r="H16" s="18">
        <v>2939</v>
      </c>
      <c r="I16" s="19" t="s">
        <v>22</v>
      </c>
      <c r="J16" s="18">
        <v>90.833333333333329</v>
      </c>
      <c r="K16" s="18">
        <v>2180</v>
      </c>
      <c r="L16" s="18">
        <v>74</v>
      </c>
    </row>
    <row r="17" spans="1:12" ht="15">
      <c r="A17" s="18">
        <f t="shared" ref="A17:A20" si="2">+B17/30</f>
        <v>38.666666666666664</v>
      </c>
      <c r="B17" s="18">
        <v>1160</v>
      </c>
      <c r="C17" s="18">
        <f t="shared" ref="C17:C20" si="3">+D17/31</f>
        <v>39.612903225806448</v>
      </c>
      <c r="D17" s="18">
        <v>1228</v>
      </c>
      <c r="E17" s="18">
        <f t="shared" ref="E17:E20" si="4">+F17/30</f>
        <v>40.9</v>
      </c>
      <c r="F17" s="18">
        <v>1227</v>
      </c>
      <c r="G17" s="18">
        <f t="shared" ref="G17:G20" si="5">+H17/31</f>
        <v>40.774193548387096</v>
      </c>
      <c r="H17" s="18">
        <v>1264</v>
      </c>
      <c r="I17" s="19" t="s">
        <v>23</v>
      </c>
      <c r="J17" s="18">
        <v>33.833333333333336</v>
      </c>
      <c r="K17" s="18">
        <v>812</v>
      </c>
      <c r="L17" s="18">
        <v>35</v>
      </c>
    </row>
    <row r="18" spans="1:12" ht="15">
      <c r="A18" s="18">
        <f t="shared" si="2"/>
        <v>26.533333333333335</v>
      </c>
      <c r="B18" s="18">
        <v>796</v>
      </c>
      <c r="C18" s="18">
        <f t="shared" si="3"/>
        <v>26.774193548387096</v>
      </c>
      <c r="D18" s="18">
        <v>830</v>
      </c>
      <c r="E18" s="18">
        <f t="shared" si="4"/>
        <v>31.9</v>
      </c>
      <c r="F18" s="18">
        <v>957</v>
      </c>
      <c r="G18" s="18">
        <f t="shared" si="5"/>
        <v>31.322580645161292</v>
      </c>
      <c r="H18" s="18">
        <v>971</v>
      </c>
      <c r="I18" s="19" t="s">
        <v>24</v>
      </c>
      <c r="J18" s="18">
        <v>27</v>
      </c>
      <c r="K18" s="18">
        <v>648</v>
      </c>
      <c r="L18" s="18">
        <v>28</v>
      </c>
    </row>
    <row r="19" spans="1:12" ht="15">
      <c r="A19" s="18">
        <f t="shared" si="2"/>
        <v>0.83333333333333337</v>
      </c>
      <c r="B19" s="18">
        <v>25</v>
      </c>
      <c r="C19" s="18">
        <f t="shared" si="3"/>
        <v>0.64516129032258063</v>
      </c>
      <c r="D19" s="18">
        <v>20</v>
      </c>
      <c r="E19" s="18">
        <f t="shared" si="4"/>
        <v>0.26666666666666666</v>
      </c>
      <c r="F19" s="18">
        <v>8</v>
      </c>
      <c r="G19" s="18">
        <f t="shared" si="5"/>
        <v>0.16129032258064516</v>
      </c>
      <c r="H19" s="18">
        <v>5</v>
      </c>
      <c r="I19" s="19" t="s">
        <v>25</v>
      </c>
      <c r="J19" s="18">
        <v>0.25</v>
      </c>
      <c r="K19" s="18">
        <v>6</v>
      </c>
      <c r="L19" s="18">
        <v>0</v>
      </c>
    </row>
    <row r="20" spans="1:12" ht="15">
      <c r="A20" s="18">
        <f t="shared" si="2"/>
        <v>3.0666666666666669</v>
      </c>
      <c r="B20" s="18">
        <v>92</v>
      </c>
      <c r="C20" s="18">
        <f t="shared" si="3"/>
        <v>3.064516129032258</v>
      </c>
      <c r="D20" s="18">
        <v>95</v>
      </c>
      <c r="E20" s="18">
        <f t="shared" si="4"/>
        <v>3.1</v>
      </c>
      <c r="F20" s="18">
        <v>93</v>
      </c>
      <c r="G20" s="18">
        <f t="shared" si="5"/>
        <v>3.4838709677419355</v>
      </c>
      <c r="H20" s="18">
        <v>108</v>
      </c>
      <c r="I20" s="19" t="s">
        <v>26</v>
      </c>
      <c r="J20" s="18">
        <v>2.4583333333333335</v>
      </c>
      <c r="K20" s="18">
        <v>59</v>
      </c>
      <c r="L20" s="18">
        <v>2</v>
      </c>
    </row>
    <row r="21" spans="1:12" ht="15">
      <c r="A21" s="18"/>
      <c r="B21" s="18"/>
      <c r="C21" s="18"/>
      <c r="D21" s="18"/>
      <c r="E21" s="18"/>
      <c r="F21" s="18"/>
      <c r="G21" s="18"/>
      <c r="H21" s="18"/>
      <c r="I21" s="20"/>
      <c r="J21" s="18"/>
      <c r="K21" s="18"/>
      <c r="L21" s="18"/>
    </row>
    <row r="22" spans="1:12" ht="15">
      <c r="A22" s="18">
        <v>44.366666666666667</v>
      </c>
      <c r="B22" s="18">
        <v>1331</v>
      </c>
      <c r="C22" s="18">
        <v>44.58064516129032</v>
      </c>
      <c r="D22" s="18">
        <v>1382</v>
      </c>
      <c r="E22" s="18">
        <v>48.06666666666667</v>
      </c>
      <c r="F22" s="18">
        <v>1442</v>
      </c>
      <c r="G22" s="18">
        <v>48.806451612903224</v>
      </c>
      <c r="H22" s="18">
        <v>1513</v>
      </c>
      <c r="I22" s="20" t="s">
        <v>27</v>
      </c>
      <c r="J22" s="18">
        <v>49.208333333333336</v>
      </c>
      <c r="K22" s="18">
        <v>1181</v>
      </c>
      <c r="L22" s="18">
        <v>39</v>
      </c>
    </row>
    <row r="23" spans="1:12" ht="15">
      <c r="A23" s="18">
        <v>74.7</v>
      </c>
      <c r="B23" s="18">
        <v>2241</v>
      </c>
      <c r="C23" s="18">
        <v>80.064516129032256</v>
      </c>
      <c r="D23" s="18">
        <v>2482</v>
      </c>
      <c r="E23" s="18">
        <v>82.7</v>
      </c>
      <c r="F23" s="18">
        <v>2481</v>
      </c>
      <c r="G23" s="18">
        <v>78.967741935483872</v>
      </c>
      <c r="H23" s="18">
        <v>2448</v>
      </c>
      <c r="I23" s="20" t="s">
        <v>28</v>
      </c>
      <c r="J23" s="18">
        <v>64.541666666666671</v>
      </c>
      <c r="K23" s="18">
        <v>1549</v>
      </c>
      <c r="L23" s="18">
        <v>59</v>
      </c>
    </row>
    <row r="24" spans="1:12" ht="30">
      <c r="A24" s="18">
        <f>+A15-A22-A23</f>
        <v>34.999999999999986</v>
      </c>
      <c r="B24" s="18">
        <f t="shared" ref="B24:H24" si="6">+B15-B22-B23</f>
        <v>1050</v>
      </c>
      <c r="C24" s="18">
        <f t="shared" si="6"/>
        <v>33.935483870967758</v>
      </c>
      <c r="D24" s="18">
        <f t="shared" si="6"/>
        <v>1052</v>
      </c>
      <c r="E24" s="18">
        <f t="shared" si="6"/>
        <v>39.433333333333351</v>
      </c>
      <c r="F24" s="18">
        <f t="shared" si="6"/>
        <v>1183</v>
      </c>
      <c r="G24" s="18">
        <f>+G15-G22-G23</f>
        <v>42.774193548387075</v>
      </c>
      <c r="H24" s="18">
        <f t="shared" si="6"/>
        <v>1326</v>
      </c>
      <c r="I24" s="21" t="s">
        <v>29</v>
      </c>
      <c r="J24" s="18">
        <v>40.625</v>
      </c>
      <c r="K24" s="18">
        <v>975</v>
      </c>
      <c r="L24" s="18">
        <v>41</v>
      </c>
    </row>
    <row r="25" spans="1:12" ht="15">
      <c r="A25" s="18"/>
      <c r="B25" s="18"/>
      <c r="C25" s="18"/>
      <c r="D25" s="18"/>
      <c r="E25" s="18"/>
      <c r="F25" s="18"/>
      <c r="G25" s="18"/>
      <c r="H25" s="18"/>
      <c r="I25" s="20"/>
      <c r="J25" s="18"/>
      <c r="K25" s="18"/>
      <c r="L25" s="18"/>
    </row>
    <row r="26" spans="1:12" ht="15.75">
      <c r="A26" s="16">
        <f t="shared" ref="A26:G26" si="7">+A27+A28+A29+A30+A31</f>
        <v>155.93333333333337</v>
      </c>
      <c r="B26" s="16">
        <f t="shared" si="7"/>
        <v>4678</v>
      </c>
      <c r="C26" s="16">
        <f t="shared" si="7"/>
        <v>158.77419354838713</v>
      </c>
      <c r="D26" s="16">
        <f t="shared" si="7"/>
        <v>4922</v>
      </c>
      <c r="E26" s="16">
        <f t="shared" si="7"/>
        <v>167.76666666666665</v>
      </c>
      <c r="F26" s="16">
        <f t="shared" si="7"/>
        <v>5033</v>
      </c>
      <c r="G26" s="16">
        <f t="shared" si="7"/>
        <v>170.45161290322579</v>
      </c>
      <c r="H26" s="16">
        <f>+H27+H28+H29+H30+H31</f>
        <v>5284</v>
      </c>
      <c r="I26" s="17" t="s">
        <v>30</v>
      </c>
      <c r="J26" s="16">
        <v>161.08333333333331</v>
      </c>
      <c r="K26" s="16">
        <v>3866</v>
      </c>
      <c r="L26" s="16">
        <v>210</v>
      </c>
    </row>
    <row r="27" spans="1:12" ht="15">
      <c r="A27" s="18">
        <f t="shared" ref="A27:A33" si="8">+B27/30</f>
        <v>87.066666666666663</v>
      </c>
      <c r="B27" s="18">
        <v>2612</v>
      </c>
      <c r="C27" s="18">
        <f t="shared" ref="C27:C33" si="9">+D27/31</f>
        <v>87.451612903225808</v>
      </c>
      <c r="D27" s="18">
        <v>2711</v>
      </c>
      <c r="E27" s="18">
        <f t="shared" ref="E27:E33" si="10">+F27/30</f>
        <v>92.466666666666669</v>
      </c>
      <c r="F27" s="18">
        <v>2774</v>
      </c>
      <c r="G27" s="18">
        <f t="shared" ref="G27:G31" si="11">+H27/31</f>
        <v>95.483870967741936</v>
      </c>
      <c r="H27" s="18">
        <v>2960</v>
      </c>
      <c r="I27" s="22" t="s">
        <v>22</v>
      </c>
      <c r="J27" s="18">
        <v>90.958333333333329</v>
      </c>
      <c r="K27" s="18">
        <v>2183</v>
      </c>
      <c r="L27" s="18">
        <v>117</v>
      </c>
    </row>
    <row r="28" spans="1:12" ht="15">
      <c r="A28" s="18">
        <f t="shared" si="8"/>
        <v>38.466666666666669</v>
      </c>
      <c r="B28" s="18">
        <v>1154</v>
      </c>
      <c r="C28" s="18">
        <f t="shared" si="9"/>
        <v>39.935483870967744</v>
      </c>
      <c r="D28" s="18">
        <v>1238</v>
      </c>
      <c r="E28" s="18">
        <f t="shared" si="10"/>
        <v>40.799999999999997</v>
      </c>
      <c r="F28" s="18">
        <v>1224</v>
      </c>
      <c r="G28" s="18">
        <f t="shared" si="11"/>
        <v>39.677419354838712</v>
      </c>
      <c r="H28" s="18">
        <v>1230</v>
      </c>
      <c r="I28" s="22" t="s">
        <v>23</v>
      </c>
      <c r="J28" s="18">
        <v>38.625</v>
      </c>
      <c r="K28" s="18">
        <v>927</v>
      </c>
      <c r="L28" s="18">
        <v>56</v>
      </c>
    </row>
    <row r="29" spans="1:12" ht="15">
      <c r="A29" s="18">
        <f t="shared" si="8"/>
        <v>26.766666666666666</v>
      </c>
      <c r="B29" s="18">
        <v>803</v>
      </c>
      <c r="C29" s="18">
        <f t="shared" si="9"/>
        <v>27.096774193548388</v>
      </c>
      <c r="D29" s="18">
        <v>840</v>
      </c>
      <c r="E29" s="18">
        <f t="shared" si="10"/>
        <v>31.633333333333333</v>
      </c>
      <c r="F29" s="18">
        <v>949</v>
      </c>
      <c r="G29" s="18">
        <f t="shared" si="11"/>
        <v>31.419354838709676</v>
      </c>
      <c r="H29" s="18">
        <v>974</v>
      </c>
      <c r="I29" s="22" t="s">
        <v>24</v>
      </c>
      <c r="J29" s="18">
        <v>28.708333333333332</v>
      </c>
      <c r="K29" s="18">
        <v>689</v>
      </c>
      <c r="L29" s="18">
        <v>33</v>
      </c>
    </row>
    <row r="30" spans="1:12" ht="15">
      <c r="A30" s="18">
        <f t="shared" si="8"/>
        <v>0.8666666666666667</v>
      </c>
      <c r="B30" s="18">
        <v>26</v>
      </c>
      <c r="C30" s="18">
        <f t="shared" si="9"/>
        <v>0.67741935483870963</v>
      </c>
      <c r="D30" s="18">
        <v>21</v>
      </c>
      <c r="E30" s="18">
        <f t="shared" si="10"/>
        <v>0.3</v>
      </c>
      <c r="F30" s="18">
        <v>9</v>
      </c>
      <c r="G30" s="18">
        <f t="shared" si="11"/>
        <v>0.12903225806451613</v>
      </c>
      <c r="H30" s="18">
        <v>4</v>
      </c>
      <c r="I30" s="22" t="s">
        <v>25</v>
      </c>
      <c r="J30" s="18">
        <v>0.25</v>
      </c>
      <c r="K30" s="18">
        <v>6</v>
      </c>
      <c r="L30" s="18">
        <v>0</v>
      </c>
    </row>
    <row r="31" spans="1:12" ht="15">
      <c r="A31" s="23">
        <f t="shared" si="8"/>
        <v>2.7666666666666666</v>
      </c>
      <c r="B31" s="23">
        <v>83</v>
      </c>
      <c r="C31" s="23">
        <f t="shared" si="9"/>
        <v>3.6129032258064515</v>
      </c>
      <c r="D31" s="23">
        <v>112</v>
      </c>
      <c r="E31" s="23">
        <f t="shared" si="10"/>
        <v>2.5666666666666669</v>
      </c>
      <c r="F31" s="23">
        <v>77</v>
      </c>
      <c r="G31" s="23">
        <f t="shared" si="11"/>
        <v>3.7419354838709675</v>
      </c>
      <c r="H31" s="23">
        <v>116</v>
      </c>
      <c r="I31" s="24" t="s">
        <v>31</v>
      </c>
      <c r="J31" s="23">
        <v>2.5416666666666665</v>
      </c>
      <c r="K31" s="23">
        <v>61</v>
      </c>
      <c r="L31" s="23">
        <v>4</v>
      </c>
    </row>
    <row r="32" spans="1:12" ht="15">
      <c r="A32" s="18"/>
      <c r="B32" s="18"/>
      <c r="C32" s="18"/>
      <c r="D32" s="18"/>
      <c r="E32" s="18"/>
      <c r="F32" s="18"/>
      <c r="G32" s="18"/>
      <c r="H32" s="18"/>
      <c r="I32" s="20"/>
      <c r="J32" s="18"/>
      <c r="K32" s="18"/>
      <c r="L32" s="18"/>
    </row>
    <row r="33" spans="1:12" ht="15">
      <c r="A33" s="18">
        <f t="shared" si="8"/>
        <v>22.033333333333335</v>
      </c>
      <c r="B33" s="18">
        <v>661</v>
      </c>
      <c r="C33" s="18">
        <f t="shared" si="9"/>
        <v>21.258064516129032</v>
      </c>
      <c r="D33" s="18">
        <v>659</v>
      </c>
      <c r="E33" s="18">
        <f t="shared" si="10"/>
        <v>23.4</v>
      </c>
      <c r="F33" s="18">
        <v>702</v>
      </c>
      <c r="G33" s="18">
        <v>22.06451612903226</v>
      </c>
      <c r="H33" s="18">
        <v>684</v>
      </c>
      <c r="I33" s="20" t="s">
        <v>32</v>
      </c>
      <c r="J33" s="18">
        <v>22.166666666666668</v>
      </c>
      <c r="K33" s="18">
        <v>532</v>
      </c>
      <c r="L33" s="18">
        <v>25</v>
      </c>
    </row>
    <row r="34" spans="1:12" ht="15">
      <c r="A34" s="18"/>
      <c r="B34" s="18"/>
      <c r="C34" s="18"/>
      <c r="D34" s="18"/>
      <c r="E34" s="18"/>
      <c r="F34" s="18"/>
      <c r="G34" s="18"/>
      <c r="H34" s="18"/>
      <c r="I34" s="20"/>
      <c r="J34" s="18"/>
      <c r="K34" s="18"/>
      <c r="L34" s="18"/>
    </row>
    <row r="35" spans="1:12" ht="16.5">
      <c r="A35" s="16"/>
      <c r="B35" s="16"/>
      <c r="C35" s="16"/>
      <c r="D35" s="16"/>
      <c r="E35" s="16"/>
      <c r="F35" s="16"/>
      <c r="G35" s="16"/>
      <c r="H35" s="16"/>
      <c r="I35" s="25" t="s">
        <v>33</v>
      </c>
      <c r="J35" s="16"/>
      <c r="K35" s="16"/>
      <c r="L35" s="16"/>
    </row>
    <row r="36" spans="1:12" ht="15.75">
      <c r="A36" s="16">
        <v>8067515.0363333281</v>
      </c>
      <c r="B36" s="16">
        <v>242025451.08999985</v>
      </c>
      <c r="C36" s="16">
        <v>8133995.8087096764</v>
      </c>
      <c r="D36" s="16">
        <v>252153870.06999996</v>
      </c>
      <c r="E36" s="16">
        <v>8860192.6769999955</v>
      </c>
      <c r="F36" s="16">
        <v>265805780.30999988</v>
      </c>
      <c r="G36" s="16">
        <v>8700384.6858064495</v>
      </c>
      <c r="H36" s="16">
        <v>269711925.25999993</v>
      </c>
      <c r="I36" s="9" t="s">
        <v>34</v>
      </c>
      <c r="J36" s="16">
        <v>7811957.6033333326</v>
      </c>
      <c r="K36" s="16">
        <v>187486982.47999999</v>
      </c>
      <c r="L36" s="16">
        <v>10157661.120000003</v>
      </c>
    </row>
    <row r="37" spans="1:12" ht="15.75">
      <c r="A37" s="16">
        <v>18714605.412999984</v>
      </c>
      <c r="B37" s="16">
        <v>561438162.38999951</v>
      </c>
      <c r="C37" s="16">
        <v>18232225.897096816</v>
      </c>
      <c r="D37" s="16">
        <v>565199002.81000125</v>
      </c>
      <c r="E37" s="16">
        <v>19367494.242333319</v>
      </c>
      <c r="F37" s="16">
        <v>581024827.26999962</v>
      </c>
      <c r="G37" s="16">
        <v>19273421.497419301</v>
      </c>
      <c r="H37" s="16">
        <v>597476066.41999829</v>
      </c>
      <c r="I37" s="9" t="s">
        <v>35</v>
      </c>
      <c r="J37" s="16">
        <v>19228922.319166664</v>
      </c>
      <c r="K37" s="16">
        <v>461494135.65999991</v>
      </c>
      <c r="L37" s="16">
        <v>24846975.420000002</v>
      </c>
    </row>
    <row r="38" spans="1:12" ht="16.5">
      <c r="A38" s="26">
        <f t="shared" ref="A38:G38" si="12">SUM(A36:A37)</f>
        <v>26782120.44933331</v>
      </c>
      <c r="B38" s="26">
        <f t="shared" si="12"/>
        <v>803463613.4799993</v>
      </c>
      <c r="C38" s="26">
        <f t="shared" si="12"/>
        <v>26366221.705806494</v>
      </c>
      <c r="D38" s="26">
        <f t="shared" si="12"/>
        <v>817352872.88000119</v>
      </c>
      <c r="E38" s="26">
        <f t="shared" si="12"/>
        <v>28227686.919333316</v>
      </c>
      <c r="F38" s="26">
        <f t="shared" si="12"/>
        <v>846830607.57999945</v>
      </c>
      <c r="G38" s="26">
        <f t="shared" si="12"/>
        <v>27973806.183225751</v>
      </c>
      <c r="H38" s="26">
        <f>SUM(H36:H37)</f>
        <v>867187991.67999816</v>
      </c>
      <c r="I38" s="27" t="s">
        <v>36</v>
      </c>
      <c r="J38" s="26">
        <v>27040879.922499996</v>
      </c>
      <c r="K38" s="26">
        <v>648981118.13999987</v>
      </c>
      <c r="L38" s="26">
        <v>35004636.540000007</v>
      </c>
    </row>
    <row r="39" spans="1:12" ht="15">
      <c r="A39" s="18"/>
      <c r="B39" s="18"/>
      <c r="C39" s="18"/>
      <c r="D39" s="18"/>
      <c r="E39" s="18"/>
      <c r="F39" s="18"/>
      <c r="G39" s="18"/>
      <c r="H39" s="18"/>
      <c r="I39" s="28"/>
      <c r="J39" s="18"/>
      <c r="K39" s="18"/>
      <c r="L39" s="18"/>
    </row>
    <row r="40" spans="1:12" ht="16.5">
      <c r="A40" s="18"/>
      <c r="B40" s="18"/>
      <c r="C40" s="18"/>
      <c r="D40" s="18"/>
      <c r="E40" s="18"/>
      <c r="F40" s="18"/>
      <c r="G40" s="18"/>
      <c r="H40" s="18"/>
      <c r="I40" s="25" t="s">
        <v>33</v>
      </c>
      <c r="J40" s="18"/>
      <c r="K40" s="18"/>
      <c r="L40" s="18"/>
    </row>
    <row r="41" spans="1:12" ht="15">
      <c r="A41" s="18">
        <v>25392399.165333323</v>
      </c>
      <c r="B41" s="18">
        <v>761771974.95999956</v>
      </c>
      <c r="C41" s="18">
        <v>24526337.519354843</v>
      </c>
      <c r="D41" s="18">
        <v>760316463.10000014</v>
      </c>
      <c r="E41" s="18">
        <v>27273824.816666659</v>
      </c>
      <c r="F41" s="18">
        <v>815593454.90999985</v>
      </c>
      <c r="G41" s="18">
        <v>26485346.385161314</v>
      </c>
      <c r="H41" s="18">
        <v>821045737.94000077</v>
      </c>
      <c r="I41" s="19" t="s">
        <v>37</v>
      </c>
      <c r="J41" s="18">
        <v>26097186.620416664</v>
      </c>
      <c r="K41" s="18">
        <v>626332478.88999987</v>
      </c>
      <c r="L41" s="18">
        <v>33523509.200000003</v>
      </c>
    </row>
    <row r="42" spans="1:12" ht="15">
      <c r="A42" s="18">
        <v>1389721.2840000002</v>
      </c>
      <c r="B42" s="18">
        <v>41691638.520000003</v>
      </c>
      <c r="C42" s="18">
        <v>1839884.186451613</v>
      </c>
      <c r="D42" s="18">
        <v>57036409.780000001</v>
      </c>
      <c r="E42" s="18">
        <v>937270.32399999991</v>
      </c>
      <c r="F42" s="18">
        <v>31237152.669999994</v>
      </c>
      <c r="G42" s="18">
        <v>1488459.7980645159</v>
      </c>
      <c r="H42" s="18">
        <v>46142253.739999995</v>
      </c>
      <c r="I42" s="19" t="s">
        <v>38</v>
      </c>
      <c r="J42" s="18">
        <v>943693.30208333349</v>
      </c>
      <c r="K42" s="18">
        <v>22648639.25</v>
      </c>
      <c r="L42" s="18">
        <v>1481127.3399999999</v>
      </c>
    </row>
    <row r="43" spans="1:12" ht="16.5">
      <c r="A43" s="26">
        <f t="shared" ref="A43:H43" si="13">SUM(A41:A42)</f>
        <v>26782120.449333325</v>
      </c>
      <c r="B43" s="26">
        <f t="shared" si="13"/>
        <v>803463613.47999954</v>
      </c>
      <c r="C43" s="26">
        <f t="shared" si="13"/>
        <v>26366221.705806457</v>
      </c>
      <c r="D43" s="26">
        <f t="shared" si="13"/>
        <v>817352872.88000011</v>
      </c>
      <c r="E43" s="26">
        <f t="shared" si="13"/>
        <v>28211095.14066666</v>
      </c>
      <c r="F43" s="26">
        <f t="shared" si="13"/>
        <v>846830607.5799998</v>
      </c>
      <c r="G43" s="26">
        <f t="shared" si="13"/>
        <v>27973806.183225829</v>
      </c>
      <c r="H43" s="26">
        <f t="shared" si="13"/>
        <v>867187991.68000078</v>
      </c>
      <c r="I43" s="27" t="s">
        <v>36</v>
      </c>
      <c r="J43" s="26">
        <v>27040879.922499996</v>
      </c>
      <c r="K43" s="26">
        <v>648981118.13999987</v>
      </c>
      <c r="L43" s="26">
        <v>35004636.540000007</v>
      </c>
    </row>
    <row r="44" spans="1:12" ht="15">
      <c r="A44" s="18"/>
      <c r="B44" s="18"/>
      <c r="C44" s="18"/>
      <c r="D44" s="18"/>
      <c r="E44" s="18"/>
      <c r="F44" s="18"/>
      <c r="G44" s="18"/>
      <c r="H44" s="18"/>
      <c r="I44" s="28"/>
      <c r="J44" s="18"/>
      <c r="K44" s="18"/>
      <c r="L44" s="18"/>
    </row>
    <row r="45" spans="1:12" ht="16.5">
      <c r="A45" s="18"/>
      <c r="B45" s="18"/>
      <c r="C45" s="18"/>
      <c r="D45" s="18"/>
      <c r="E45" s="18"/>
      <c r="F45" s="18"/>
      <c r="G45" s="18"/>
      <c r="H45" s="18"/>
      <c r="I45" s="25" t="s">
        <v>33</v>
      </c>
      <c r="J45" s="18"/>
      <c r="K45" s="18"/>
      <c r="L45" s="18"/>
    </row>
    <row r="46" spans="1:12" ht="16.5">
      <c r="A46" s="18"/>
      <c r="B46" s="18"/>
      <c r="C46" s="18"/>
      <c r="D46" s="18"/>
      <c r="E46" s="18"/>
      <c r="F46" s="18"/>
      <c r="G46" s="18"/>
      <c r="H46" s="18"/>
      <c r="I46" s="25"/>
      <c r="J46" s="18"/>
      <c r="K46" s="18"/>
      <c r="L46" s="18"/>
    </row>
    <row r="47" spans="1:12" ht="18">
      <c r="A47" s="16"/>
      <c r="B47" s="16"/>
      <c r="C47" s="16"/>
      <c r="D47" s="16"/>
      <c r="E47" s="16"/>
      <c r="F47" s="16"/>
      <c r="G47" s="16"/>
      <c r="H47" s="16"/>
      <c r="I47" s="29" t="s">
        <v>39</v>
      </c>
      <c r="J47" s="16"/>
      <c r="K47" s="16"/>
      <c r="L47" s="16"/>
    </row>
    <row r="48" spans="1:12" ht="15.75">
      <c r="A48" s="16">
        <v>15272433.08366666</v>
      </c>
      <c r="B48" s="16">
        <v>458172992.50999981</v>
      </c>
      <c r="C48" s="16">
        <v>14494908.718064519</v>
      </c>
      <c r="D48" s="16">
        <v>449342170.26000005</v>
      </c>
      <c r="E48" s="16">
        <v>16313638.631333327</v>
      </c>
      <c r="F48" s="16">
        <v>489409158.93999982</v>
      </c>
      <c r="G48" s="16">
        <v>16779329.457419377</v>
      </c>
      <c r="H48" s="16">
        <v>520159213.18000072</v>
      </c>
      <c r="I48" s="9" t="s">
        <v>37</v>
      </c>
      <c r="J48" s="16">
        <v>15389774.992916664</v>
      </c>
      <c r="K48" s="16">
        <v>369354599.82999992</v>
      </c>
      <c r="L48" s="16">
        <v>17031688.149999999</v>
      </c>
    </row>
    <row r="49" spans="1:12" ht="15.75">
      <c r="A49" s="16">
        <v>312409.17066666664</v>
      </c>
      <c r="B49" s="16">
        <v>9372275.1199999992</v>
      </c>
      <c r="C49" s="16">
        <v>496272.14967741934</v>
      </c>
      <c r="D49" s="16">
        <v>15384436.639999999</v>
      </c>
      <c r="E49" s="16">
        <v>396202.71733333333</v>
      </c>
      <c r="F49" s="16">
        <v>11913844.609999998</v>
      </c>
      <c r="G49" s="16">
        <v>687398.98935483873</v>
      </c>
      <c r="H49" s="16">
        <v>21309368.670000002</v>
      </c>
      <c r="I49" s="9" t="s">
        <v>38</v>
      </c>
      <c r="J49" s="16">
        <v>351882.65791666665</v>
      </c>
      <c r="K49" s="16">
        <v>8445183.7899999991</v>
      </c>
      <c r="L49" s="16">
        <v>185731</v>
      </c>
    </row>
    <row r="50" spans="1:12" ht="15">
      <c r="A50" s="16"/>
      <c r="B50" s="16"/>
      <c r="C50" s="16"/>
      <c r="D50" s="16"/>
      <c r="E50" s="16"/>
      <c r="F50" s="16"/>
      <c r="G50" s="16"/>
      <c r="H50" s="16"/>
      <c r="I50" s="19"/>
      <c r="J50" s="16"/>
      <c r="K50" s="16"/>
      <c r="L50" s="16"/>
    </row>
    <row r="51" spans="1:12" ht="18">
      <c r="A51" s="16"/>
      <c r="B51" s="16"/>
      <c r="C51" s="16"/>
      <c r="D51" s="16"/>
      <c r="E51" s="16"/>
      <c r="F51" s="16"/>
      <c r="G51" s="16"/>
      <c r="H51" s="16"/>
      <c r="I51" s="29" t="s">
        <v>40</v>
      </c>
      <c r="J51" s="16"/>
      <c r="K51" s="16"/>
      <c r="L51" s="16"/>
    </row>
    <row r="52" spans="1:12" ht="15.75">
      <c r="A52" s="16">
        <v>10119966.081666661</v>
      </c>
      <c r="B52" s="16">
        <v>303598982.44999981</v>
      </c>
      <c r="C52" s="16">
        <v>10031428.801290324</v>
      </c>
      <c r="D52" s="16">
        <v>310974292.84000003</v>
      </c>
      <c r="E52" s="16">
        <v>10960186.185333332</v>
      </c>
      <c r="F52" s="16">
        <v>326184295.96999997</v>
      </c>
      <c r="G52" s="16">
        <v>9706016.9277419355</v>
      </c>
      <c r="H52" s="16">
        <v>300886524.75999999</v>
      </c>
      <c r="I52" s="9" t="s">
        <v>37</v>
      </c>
      <c r="J52" s="16">
        <v>10707411.627499998</v>
      </c>
      <c r="K52" s="16">
        <v>256977879.05999991</v>
      </c>
      <c r="L52" s="16">
        <v>16491821.050000003</v>
      </c>
    </row>
    <row r="53" spans="1:12" ht="15">
      <c r="A53" s="18">
        <v>2850182.8126666634</v>
      </c>
      <c r="B53" s="18">
        <v>85505484.379999906</v>
      </c>
      <c r="C53" s="18">
        <v>2774121.9941935474</v>
      </c>
      <c r="D53" s="18">
        <v>85997781.819999963</v>
      </c>
      <c r="E53" s="18">
        <v>3193959.7213333328</v>
      </c>
      <c r="F53" s="18">
        <v>94027671.14000003</v>
      </c>
      <c r="G53" s="18">
        <v>3340383.216451616</v>
      </c>
      <c r="H53" s="18">
        <v>103551879.7100001</v>
      </c>
      <c r="I53" s="19" t="s">
        <v>41</v>
      </c>
      <c r="J53" s="18">
        <v>2863988.2100000004</v>
      </c>
      <c r="K53" s="18">
        <v>68735717.040000007</v>
      </c>
      <c r="L53" s="18">
        <v>3312039.95</v>
      </c>
    </row>
    <row r="54" spans="1:12" ht="15">
      <c r="A54" s="18">
        <v>92710.970999999976</v>
      </c>
      <c r="B54" s="18">
        <v>2781329.1299999994</v>
      </c>
      <c r="C54" s="18">
        <v>86492.314838709659</v>
      </c>
      <c r="D54" s="18">
        <v>2681261.7599999993</v>
      </c>
      <c r="E54" s="18">
        <v>64290.700333333334</v>
      </c>
      <c r="F54" s="18">
        <v>1680765.0100000002</v>
      </c>
      <c r="G54" s="18">
        <v>8908.724838709677</v>
      </c>
      <c r="H54" s="18">
        <v>276170.46999999997</v>
      </c>
      <c r="I54" s="19" t="s">
        <v>42</v>
      </c>
      <c r="J54" s="18">
        <v>56568.604999999989</v>
      </c>
      <c r="K54" s="18">
        <v>1357646.5199999998</v>
      </c>
      <c r="L54" s="18">
        <v>0</v>
      </c>
    </row>
    <row r="55" spans="1:12" ht="15">
      <c r="A55" s="18">
        <v>6239901.9596666647</v>
      </c>
      <c r="B55" s="18">
        <v>187197058.78999993</v>
      </c>
      <c r="C55" s="18">
        <v>6258074.1483870987</v>
      </c>
      <c r="D55" s="18">
        <v>194000298.60000005</v>
      </c>
      <c r="E55" s="18">
        <v>6843860.5746666668</v>
      </c>
      <c r="F55" s="18">
        <v>205798094.52999991</v>
      </c>
      <c r="G55" s="18">
        <v>5777231.8135483833</v>
      </c>
      <c r="H55" s="18">
        <v>179094186.21999988</v>
      </c>
      <c r="I55" s="19" t="s">
        <v>43</v>
      </c>
      <c r="J55" s="18">
        <v>6928301.3966666637</v>
      </c>
      <c r="K55" s="18">
        <v>166279233.51999992</v>
      </c>
      <c r="L55" s="18">
        <v>12011748.290000001</v>
      </c>
    </row>
    <row r="56" spans="1:12" ht="15">
      <c r="A56" s="18">
        <v>937170.33833333326</v>
      </c>
      <c r="B56" s="18">
        <v>28115110.149999999</v>
      </c>
      <c r="C56" s="18">
        <v>912740.34387096763</v>
      </c>
      <c r="D56" s="18">
        <v>28294950.659999996</v>
      </c>
      <c r="E56" s="18">
        <v>858075.18900000001</v>
      </c>
      <c r="F56" s="18">
        <v>24677765.289999999</v>
      </c>
      <c r="G56" s="18">
        <v>579493.17290322576</v>
      </c>
      <c r="H56" s="18">
        <v>17964288.359999999</v>
      </c>
      <c r="I56" s="19" t="s">
        <v>44</v>
      </c>
      <c r="J56" s="18">
        <v>858553.41583333316</v>
      </c>
      <c r="K56" s="18">
        <v>20605281.979999997</v>
      </c>
      <c r="L56" s="18">
        <v>1168032.81</v>
      </c>
    </row>
    <row r="57" spans="1:12" ht="15">
      <c r="A57" s="18"/>
      <c r="B57" s="18"/>
      <c r="C57" s="18"/>
      <c r="D57" s="18"/>
      <c r="E57" s="18"/>
      <c r="F57" s="18"/>
      <c r="G57" s="18"/>
      <c r="H57" s="18"/>
      <c r="I57" s="19"/>
      <c r="J57" s="18"/>
      <c r="K57" s="18"/>
      <c r="L57" s="18"/>
    </row>
    <row r="58" spans="1:12" ht="15.75">
      <c r="A58" s="16">
        <v>1077312.1133333335</v>
      </c>
      <c r="B58" s="16">
        <v>32319363.400000006</v>
      </c>
      <c r="C58" s="16">
        <v>1343612.0367741936</v>
      </c>
      <c r="D58" s="16">
        <v>41651973.140000001</v>
      </c>
      <c r="E58" s="16">
        <v>541067.60666666657</v>
      </c>
      <c r="F58" s="16">
        <v>19323308.059999999</v>
      </c>
      <c r="G58" s="16">
        <v>801060.80870967719</v>
      </c>
      <c r="H58" s="16">
        <v>24832885.069999993</v>
      </c>
      <c r="I58" s="9" t="s">
        <v>38</v>
      </c>
      <c r="J58" s="16">
        <v>591810.64416666678</v>
      </c>
      <c r="K58" s="16">
        <v>14203455.460000001</v>
      </c>
      <c r="L58" s="16">
        <v>1295396.3399999999</v>
      </c>
    </row>
    <row r="59" spans="1:12" ht="15">
      <c r="A59" s="18">
        <v>992530.55700000015</v>
      </c>
      <c r="B59" s="18">
        <v>29775916.710000005</v>
      </c>
      <c r="C59" s="18">
        <v>1015254.6032258065</v>
      </c>
      <c r="D59" s="18">
        <v>31472892.700000003</v>
      </c>
      <c r="E59" s="18">
        <v>405154.02133333322</v>
      </c>
      <c r="F59" s="18">
        <v>14987365.18</v>
      </c>
      <c r="G59" s="18">
        <v>486141.6703225805</v>
      </c>
      <c r="H59" s="18">
        <v>15070391.779999996</v>
      </c>
      <c r="I59" s="19" t="s">
        <v>45</v>
      </c>
      <c r="J59" s="18">
        <v>421453.66833333339</v>
      </c>
      <c r="K59" s="18">
        <v>10114888.040000001</v>
      </c>
      <c r="L59" s="18">
        <v>1295396.3399999999</v>
      </c>
    </row>
    <row r="60" spans="1:12" ht="15">
      <c r="A60" s="18">
        <v>84781.556333333327</v>
      </c>
      <c r="B60" s="18">
        <v>2543446.69</v>
      </c>
      <c r="C60" s="18">
        <v>328357.43354838708</v>
      </c>
      <c r="D60" s="18">
        <v>10179080.439999999</v>
      </c>
      <c r="E60" s="18">
        <v>135913.58533333332</v>
      </c>
      <c r="F60" s="18">
        <v>4335942.88</v>
      </c>
      <c r="G60" s="18">
        <v>314919.13838709675</v>
      </c>
      <c r="H60" s="18">
        <v>9762493.2899999991</v>
      </c>
      <c r="I60" s="19" t="s">
        <v>44</v>
      </c>
      <c r="J60" s="18">
        <v>170356.97583333333</v>
      </c>
      <c r="K60" s="18">
        <v>4088567.42</v>
      </c>
      <c r="L60" s="18">
        <v>0</v>
      </c>
    </row>
    <row r="61" spans="1:12" ht="16.5">
      <c r="A61" s="26">
        <f>+A48+A49+A52+A58</f>
        <v>26782120.449333321</v>
      </c>
      <c r="B61" s="26">
        <f t="shared" ref="B61:H61" si="14">+B48+B49+B52+B58</f>
        <v>803463613.47999966</v>
      </c>
      <c r="C61" s="26">
        <f t="shared" si="14"/>
        <v>26366221.705806453</v>
      </c>
      <c r="D61" s="26">
        <f t="shared" si="14"/>
        <v>817352872.88</v>
      </c>
      <c r="E61" s="26">
        <f t="shared" si="14"/>
        <v>28211095.14066666</v>
      </c>
      <c r="F61" s="26">
        <f t="shared" si="14"/>
        <v>846830607.57999969</v>
      </c>
      <c r="G61" s="26">
        <f t="shared" si="14"/>
        <v>27973806.183225829</v>
      </c>
      <c r="H61" s="26">
        <f t="shared" si="14"/>
        <v>867187991.68000078</v>
      </c>
      <c r="I61" s="27" t="s">
        <v>36</v>
      </c>
      <c r="J61" s="26">
        <v>27040879.922499996</v>
      </c>
      <c r="K61" s="26">
        <v>648981118.13999987</v>
      </c>
      <c r="L61" s="26">
        <v>35004636.540000007</v>
      </c>
    </row>
    <row r="62" spans="1:12" ht="15">
      <c r="A62" s="16"/>
      <c r="B62" s="16"/>
      <c r="C62" s="16"/>
      <c r="D62" s="16"/>
      <c r="E62" s="16"/>
      <c r="F62" s="16"/>
      <c r="G62" s="16"/>
      <c r="H62" s="16"/>
      <c r="I62" s="28"/>
      <c r="J62" s="16"/>
      <c r="K62" s="16"/>
      <c r="L62" s="16"/>
    </row>
    <row r="63" spans="1:12" ht="19.5">
      <c r="A63" s="30"/>
      <c r="B63" s="30"/>
      <c r="C63" s="30"/>
      <c r="D63" s="30"/>
      <c r="E63" s="30"/>
      <c r="F63" s="30"/>
      <c r="G63" s="30"/>
      <c r="H63" s="30"/>
      <c r="I63" s="28"/>
      <c r="J63" s="30"/>
      <c r="K63" s="30"/>
      <c r="L63" s="30"/>
    </row>
    <row r="64" spans="1:12" ht="16.5">
      <c r="A64" s="31">
        <v>8167677.291333341</v>
      </c>
      <c r="B64" s="31">
        <v>245030318.74000022</v>
      </c>
      <c r="C64" s="31">
        <v>8148915.1151612997</v>
      </c>
      <c r="D64" s="31">
        <v>252616368.57000029</v>
      </c>
      <c r="E64" s="31">
        <v>8480982.3639999963</v>
      </c>
      <c r="F64" s="31">
        <v>254429470.91999987</v>
      </c>
      <c r="G64" s="31">
        <v>8505594.107419109</v>
      </c>
      <c r="H64" s="31">
        <v>263673417.32999238</v>
      </c>
      <c r="I64" s="32" t="s">
        <v>46</v>
      </c>
      <c r="J64" s="31">
        <v>8029850.5458332738</v>
      </c>
      <c r="K64" s="31">
        <v>192716413.09999856</v>
      </c>
      <c r="L64" s="31">
        <v>8745400.5600000154</v>
      </c>
    </row>
    <row r="65" spans="1:12" ht="16.5">
      <c r="A65" s="16"/>
      <c r="B65" s="16"/>
      <c r="C65" s="16"/>
      <c r="D65" s="16"/>
      <c r="E65" s="16"/>
      <c r="F65" s="16"/>
      <c r="G65" s="16"/>
      <c r="H65" s="16"/>
      <c r="I65" s="25"/>
      <c r="J65" s="16"/>
      <c r="K65" s="16"/>
      <c r="L65" s="16"/>
    </row>
    <row r="66" spans="1:12" ht="15">
      <c r="A66" s="18"/>
      <c r="B66" s="18"/>
      <c r="C66" s="18"/>
      <c r="D66" s="18"/>
      <c r="E66" s="18"/>
      <c r="F66" s="18"/>
      <c r="G66" s="18"/>
      <c r="H66" s="18"/>
      <c r="I66" s="28"/>
      <c r="J66" s="18"/>
      <c r="K66" s="18"/>
      <c r="L66" s="18"/>
    </row>
    <row r="67" spans="1:12" ht="16.5">
      <c r="A67" s="26">
        <f t="shared" ref="A67:H67" si="15">+A61-A64</f>
        <v>18614443.157999981</v>
      </c>
      <c r="B67" s="26">
        <f t="shared" si="15"/>
        <v>558433294.73999941</v>
      </c>
      <c r="C67" s="26">
        <f t="shared" si="15"/>
        <v>18217306.590645153</v>
      </c>
      <c r="D67" s="26">
        <f t="shared" si="15"/>
        <v>564736504.3099997</v>
      </c>
      <c r="E67" s="26">
        <f t="shared" si="15"/>
        <v>19730112.776666664</v>
      </c>
      <c r="F67" s="26">
        <f t="shared" si="15"/>
        <v>592401136.65999985</v>
      </c>
      <c r="G67" s="26">
        <f t="shared" si="15"/>
        <v>19468212.075806722</v>
      </c>
      <c r="H67" s="26">
        <f t="shared" si="15"/>
        <v>603514574.35000837</v>
      </c>
      <c r="I67" s="27" t="s">
        <v>47</v>
      </c>
      <c r="J67" s="26">
        <v>19011029.376666721</v>
      </c>
      <c r="K67" s="26">
        <v>456264705.04000127</v>
      </c>
      <c r="L67" s="26">
        <v>26259235.979999989</v>
      </c>
    </row>
    <row r="68" spans="1:12" ht="15">
      <c r="A68" s="18"/>
      <c r="B68" s="18"/>
      <c r="C68" s="18"/>
      <c r="D68" s="18"/>
      <c r="E68" s="18"/>
      <c r="F68" s="18"/>
      <c r="G68" s="18"/>
      <c r="H68" s="18"/>
      <c r="I68" s="28"/>
      <c r="J68" s="18"/>
      <c r="K68" s="18"/>
      <c r="L68" s="18"/>
    </row>
    <row r="69" spans="1:12" ht="15.75" thickBot="1">
      <c r="A69" s="33"/>
      <c r="B69" s="33"/>
      <c r="C69" s="33"/>
      <c r="D69" s="33"/>
      <c r="E69" s="33"/>
      <c r="F69" s="33"/>
      <c r="G69" s="33"/>
      <c r="H69" s="33"/>
      <c r="I69" s="34"/>
      <c r="J69" s="33"/>
      <c r="K69" s="33"/>
      <c r="L69" s="33"/>
    </row>
    <row r="70" spans="1:12" ht="15">
      <c r="A70" s="18"/>
      <c r="B70" s="18"/>
      <c r="C70" s="18"/>
      <c r="D70" s="18"/>
      <c r="E70" s="18"/>
      <c r="F70" s="18"/>
      <c r="G70" s="18"/>
      <c r="H70" s="18"/>
      <c r="I70" s="35"/>
      <c r="J70" s="18"/>
      <c r="K70" s="18"/>
      <c r="L70" s="18"/>
    </row>
    <row r="71" spans="1:12" ht="15">
      <c r="A71" s="18"/>
      <c r="B71" s="18"/>
      <c r="C71" s="18"/>
      <c r="D71" s="18"/>
      <c r="E71" s="18"/>
      <c r="F71" s="18"/>
      <c r="G71" s="18"/>
      <c r="H71" s="18"/>
      <c r="I71" s="35"/>
      <c r="J71" s="18"/>
      <c r="K71" s="18"/>
      <c r="L71" s="18"/>
    </row>
    <row r="72" spans="1:12" ht="16.5">
      <c r="A72" s="16"/>
      <c r="B72" s="16"/>
      <c r="C72" s="16"/>
      <c r="D72" s="16"/>
      <c r="E72" s="16"/>
      <c r="F72" s="16"/>
      <c r="G72" s="16"/>
      <c r="H72" s="16"/>
      <c r="I72" s="36" t="s">
        <v>48</v>
      </c>
      <c r="J72" s="16"/>
      <c r="K72" s="16"/>
      <c r="L72" s="16"/>
    </row>
    <row r="73" spans="1:12" ht="15">
      <c r="A73" s="37">
        <f>+B73/30</f>
        <v>3982740.8003333337</v>
      </c>
      <c r="B73" s="37">
        <v>119482224.01000001</v>
      </c>
      <c r="C73" s="37">
        <f>+D73/31</f>
        <v>3932435.552258064</v>
      </c>
      <c r="D73" s="37">
        <v>121905502.11999999</v>
      </c>
      <c r="E73" s="37">
        <f>+F73/30</f>
        <v>4187873.726999999</v>
      </c>
      <c r="F73" s="37">
        <v>125636211.80999997</v>
      </c>
      <c r="G73" s="37">
        <f>+H73/31</f>
        <v>4446968.1664516125</v>
      </c>
      <c r="H73" s="37">
        <v>137856013.16</v>
      </c>
      <c r="I73" s="38" t="s">
        <v>49</v>
      </c>
      <c r="J73" s="18">
        <v>3813685.4352173917</v>
      </c>
      <c r="K73" s="37">
        <v>87714765.010000005</v>
      </c>
      <c r="L73" s="37">
        <v>4077250.9999999888</v>
      </c>
    </row>
    <row r="74" spans="1:12" ht="15">
      <c r="A74" s="37">
        <f t="shared" ref="A74:A78" si="16">+B74/30</f>
        <v>11184211.133999998</v>
      </c>
      <c r="B74" s="18">
        <v>335526334.01999992</v>
      </c>
      <c r="C74" s="37">
        <f t="shared" ref="C74:C78" si="17">+D74/31</f>
        <v>10581303.707419351</v>
      </c>
      <c r="D74" s="18">
        <v>328020414.92999989</v>
      </c>
      <c r="E74" s="37">
        <f t="shared" ref="E74:E78" si="18">+F74/30</f>
        <v>11330743.754999997</v>
      </c>
      <c r="F74" s="18">
        <v>339922312.64999992</v>
      </c>
      <c r="G74" s="37">
        <f t="shared" ref="G74:G78" si="19">+H74/31</f>
        <v>11866850.090322582</v>
      </c>
      <c r="H74" s="18">
        <v>367872352.80000007</v>
      </c>
      <c r="I74" s="38" t="s">
        <v>50</v>
      </c>
      <c r="J74" s="18">
        <v>11879861.037391299</v>
      </c>
      <c r="K74" s="18">
        <v>273236803.8599999</v>
      </c>
      <c r="L74" s="18">
        <v>14207520</v>
      </c>
    </row>
    <row r="75" spans="1:12" ht="15">
      <c r="A75" s="37">
        <f t="shared" si="16"/>
        <v>14119849.986333333</v>
      </c>
      <c r="B75" s="18">
        <v>423595499.58999997</v>
      </c>
      <c r="C75" s="37">
        <f t="shared" si="17"/>
        <v>12985167.719032256</v>
      </c>
      <c r="D75" s="18">
        <v>402540199.28999996</v>
      </c>
      <c r="E75" s="37">
        <f t="shared" si="18"/>
        <v>18774984.126666665</v>
      </c>
      <c r="F75" s="18">
        <v>563249523.79999995</v>
      </c>
      <c r="G75" s="37">
        <f t="shared" si="19"/>
        <v>14580834.98935484</v>
      </c>
      <c r="H75" s="18">
        <v>452005884.67000002</v>
      </c>
      <c r="I75" s="38" t="s">
        <v>51</v>
      </c>
      <c r="J75" s="18">
        <v>15497804.037826085</v>
      </c>
      <c r="K75" s="18">
        <v>356449492.86999995</v>
      </c>
      <c r="L75" s="18">
        <v>15474940.470000001</v>
      </c>
    </row>
    <row r="76" spans="1:12" ht="15">
      <c r="A76" s="37">
        <f t="shared" si="16"/>
        <v>286.89999999999998</v>
      </c>
      <c r="B76" s="18">
        <v>8607</v>
      </c>
      <c r="C76" s="37">
        <f t="shared" si="17"/>
        <v>577.29032258064512</v>
      </c>
      <c r="D76" s="18">
        <v>17896</v>
      </c>
      <c r="E76" s="37">
        <f t="shared" si="18"/>
        <v>441734.33333333331</v>
      </c>
      <c r="F76" s="18">
        <v>13252030</v>
      </c>
      <c r="G76" s="37">
        <f t="shared" si="19"/>
        <v>702.29032258064512</v>
      </c>
      <c r="H76" s="18">
        <v>21771</v>
      </c>
      <c r="I76" s="38" t="s">
        <v>52</v>
      </c>
      <c r="J76" s="18">
        <v>0</v>
      </c>
      <c r="K76" s="18">
        <v>0</v>
      </c>
      <c r="L76" s="18">
        <v>0</v>
      </c>
    </row>
    <row r="77" spans="1:12" ht="15" customHeight="1">
      <c r="A77" s="37">
        <f t="shared" si="16"/>
        <v>310869.70833333331</v>
      </c>
      <c r="B77" s="18">
        <v>9326091.25</v>
      </c>
      <c r="C77" s="37">
        <f t="shared" si="17"/>
        <v>240149.77806451614</v>
      </c>
      <c r="D77" s="18">
        <v>7444643.1200000001</v>
      </c>
      <c r="E77" s="37">
        <f t="shared" si="18"/>
        <v>222971.52699999997</v>
      </c>
      <c r="F77" s="18">
        <v>6689145.8099999996</v>
      </c>
      <c r="G77" s="37">
        <f t="shared" si="19"/>
        <v>232771.13419354838</v>
      </c>
      <c r="H77" s="18">
        <v>7215905.1600000001</v>
      </c>
      <c r="I77" s="39" t="s">
        <v>53</v>
      </c>
      <c r="J77" s="18">
        <v>195615.89217391302</v>
      </c>
      <c r="K77" s="18">
        <v>4499165.5199999996</v>
      </c>
      <c r="L77" s="18">
        <v>163891</v>
      </c>
    </row>
    <row r="78" spans="1:12" ht="15">
      <c r="A78" s="37">
        <f t="shared" si="16"/>
        <v>1625686</v>
      </c>
      <c r="B78" s="18">
        <v>48770580</v>
      </c>
      <c r="C78" s="37">
        <f t="shared" si="17"/>
        <v>1786331.2258064516</v>
      </c>
      <c r="D78" s="18">
        <v>55376268</v>
      </c>
      <c r="E78" s="37">
        <f t="shared" si="18"/>
        <v>1627166.8666666667</v>
      </c>
      <c r="F78" s="18">
        <v>48815006</v>
      </c>
      <c r="G78" s="37">
        <f t="shared" si="19"/>
        <v>1557441.6774193549</v>
      </c>
      <c r="H78" s="18">
        <v>48280692</v>
      </c>
      <c r="I78" s="39" t="s">
        <v>54</v>
      </c>
      <c r="J78" s="18">
        <v>1554573.4347826086</v>
      </c>
      <c r="K78" s="18">
        <v>35755189</v>
      </c>
      <c r="L78" s="18">
        <v>1967288</v>
      </c>
    </row>
    <row r="79" spans="1:12" ht="17.25" thickBot="1">
      <c r="A79" s="26">
        <f>+A73+A74+A75+A76-A77-A78</f>
        <v>27350533.112333331</v>
      </c>
      <c r="B79" s="26">
        <f>+B73+B74+B75+B76-B77-B78</f>
        <v>820515993.36999989</v>
      </c>
      <c r="C79" s="26">
        <f t="shared" ref="C79:H79" si="20">+C73+C74+C75+C76-C77-C78</f>
        <v>25473003.26516128</v>
      </c>
      <c r="D79" s="26">
        <f t="shared" si="20"/>
        <v>789663101.21999991</v>
      </c>
      <c r="E79" s="26">
        <f t="shared" si="20"/>
        <v>32885197.548333324</v>
      </c>
      <c r="F79" s="26">
        <f t="shared" si="20"/>
        <v>986555926.44999993</v>
      </c>
      <c r="G79" s="26">
        <f t="shared" si="20"/>
        <v>29105142.724838715</v>
      </c>
      <c r="H79" s="26">
        <f t="shared" si="20"/>
        <v>902259424.47000015</v>
      </c>
      <c r="I79" s="40" t="s">
        <v>55</v>
      </c>
      <c r="J79" s="26">
        <v>29441161.183478255</v>
      </c>
      <c r="K79" s="26">
        <v>677146707.21999979</v>
      </c>
      <c r="L79" s="26">
        <v>31628532.469999991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4.25"/>
  <cols>
    <col min="1" max="1" width="11.375" bestFit="1" customWidth="1"/>
  </cols>
  <sheetData>
    <row r="1" spans="1:1">
      <c r="A1" s="18">
        <v>28374506</v>
      </c>
    </row>
    <row r="2" spans="1:1">
      <c r="A2">
        <v>27891787</v>
      </c>
    </row>
    <row r="3" spans="1:1">
      <c r="A3" s="67">
        <f>A1-A2</f>
        <v>482719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 working sheet</vt:lpstr>
      <vt:lpstr>30-09-26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 Ashok</dc:creator>
  <cp:lastModifiedBy>Kishor Kumar</cp:lastModifiedBy>
  <dcterms:created xsi:type="dcterms:W3CDTF">2026-09-07T05:36:00Z</dcterms:created>
  <dcterms:modified xsi:type="dcterms:W3CDTF">2026-10-12T11:06:29Z</dcterms:modified>
</cp:coreProperties>
</file>