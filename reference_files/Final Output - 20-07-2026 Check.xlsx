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32AFE1C-993E-4405-8132-50869C5EC2F4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Final output" sheetId="1" r:id="rId1"/>
  </sheets>
  <calcPr calcId="191029"/>
</workbook>
</file>

<file path=xl/calcChain.xml><?xml version="1.0" encoding="utf-8"?>
<calcChain xmlns="http://schemas.openxmlformats.org/spreadsheetml/2006/main">
  <c r="J63" i="1" l="1"/>
  <c r="I63" i="1"/>
</calcChain>
</file>

<file path=xl/sharedStrings.xml><?xml version="1.0" encoding="utf-8"?>
<sst xmlns="http://schemas.openxmlformats.org/spreadsheetml/2006/main" count="57" uniqueCount="44">
  <si>
    <t>Daily Average April</t>
  </si>
  <si>
    <t xml:space="preserve">MTD April   </t>
  </si>
  <si>
    <t>Daily Average May</t>
  </si>
  <si>
    <t>MTD May</t>
  </si>
  <si>
    <t>Daily Average June</t>
  </si>
  <si>
    <t>MTD June</t>
  </si>
  <si>
    <t>Particulars</t>
  </si>
  <si>
    <t>Daily Average July</t>
  </si>
  <si>
    <t>MTD July (Proj)</t>
  </si>
  <si>
    <t>Occupancy</t>
  </si>
  <si>
    <t>Bed Strength</t>
  </si>
  <si>
    <t>Beds Occupied</t>
  </si>
  <si>
    <t>Occupancy %</t>
  </si>
  <si>
    <t>Volumes</t>
  </si>
  <si>
    <t>OP New Registration</t>
  </si>
  <si>
    <t>OP Encounters</t>
  </si>
  <si>
    <t>IP Admission</t>
  </si>
  <si>
    <t xml:space="preserve">               General</t>
  </si>
  <si>
    <t xml:space="preserve">               TPA</t>
  </si>
  <si>
    <t xml:space="preserve">               ECHS/ESI /INHS/ISRO/CIAL</t>
  </si>
  <si>
    <t xml:space="preserve">               P.Card.Fund</t>
  </si>
  <si>
    <t xml:space="preserve">              Corporates</t>
  </si>
  <si>
    <t>Emergency Admission</t>
  </si>
  <si>
    <t>Planned
Admission</t>
  </si>
  <si>
    <t>Admission from OP 
(walk-in)</t>
  </si>
  <si>
    <t>IP Discharges</t>
  </si>
  <si>
    <t xml:space="preserve">               Corporates </t>
  </si>
  <si>
    <t>Long Stay Patients</t>
  </si>
  <si>
    <t>Billing (INR)</t>
  </si>
  <si>
    <t>OP</t>
  </si>
  <si>
    <t>IP</t>
  </si>
  <si>
    <t>Total Billing</t>
  </si>
  <si>
    <t>Domestic</t>
  </si>
  <si>
    <t>International</t>
  </si>
  <si>
    <t>Cash (IP &amp; OP)</t>
  </si>
  <si>
    <t>Credit (IP &amp; OP)</t>
  </si>
  <si>
    <t>ECHS/ESI /INHS/ISRO/CIAL</t>
  </si>
  <si>
    <t>P.Card.Fund</t>
  </si>
  <si>
    <t>TPA</t>
  </si>
  <si>
    <t>Corporates</t>
  </si>
  <si>
    <t>TPA Aasantha</t>
  </si>
  <si>
    <t>AEPL Billing ( Collection thru' AIMS )</t>
  </si>
  <si>
    <t>Hospital Revenue (Net of AEPL)</t>
  </si>
  <si>
    <t>As on 20th July 2026(Cok)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</si>
</sst>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name val="Arial"/>
    </font>
    <font>
      <b/>
      <sz val="13"/>
      <name val="Arial"/>
    </font>
    <font>
      <sz val="12"/>
      <name val="Arial"/>
    </font>
    <font>
      <b/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9" fontId="1" fillId="0" borderId="0"/>
    <xf numFmtId="0" fontId="2" fillId="0" borderId="0"/>
  </cellStyleXfs>
  <cellXfs count="47">
    <xf numFmtId="0" fontId="0" fillId="0" borderId="0" xfId="0"/>
    <xf numFmtId="0" fontId="4" fillId="3" borderId="1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right" vertical="center" wrapText="1"/>
    </xf>
    <xf numFmtId="0" fontId="4" fillId="4" borderId="3" xfId="3" applyFont="1" applyFill="1" applyBorder="1" applyAlignment="1">
      <alignment horizontal="right" vertical="center" wrapText="1"/>
    </xf>
    <xf numFmtId="9" fontId="4" fillId="2" borderId="4" xfId="2" applyFont="1" applyFill="1" applyBorder="1" applyAlignment="1">
      <alignment horizontal="right" vertical="center" wrapText="1"/>
    </xf>
    <xf numFmtId="165" fontId="4" fillId="4" borderId="3" xfId="3" applyNumberFormat="1" applyFont="1" applyFill="1" applyBorder="1" applyAlignment="1">
      <alignment horizontal="right" vertical="center" wrapText="1"/>
    </xf>
    <xf numFmtId="165" fontId="4" fillId="4" borderId="3" xfId="1" applyNumberFormat="1" applyFont="1" applyFill="1" applyBorder="1" applyAlignment="1">
      <alignment horizontal="center" vertical="center"/>
    </xf>
    <xf numFmtId="165" fontId="7" fillId="4" borderId="3" xfId="1" applyNumberFormat="1" applyFont="1" applyFill="1" applyBorder="1" applyAlignment="1">
      <alignment horizontal="center" vertical="center"/>
    </xf>
    <xf numFmtId="0" fontId="6" fillId="4" borderId="0" xfId="3" applyFont="1" applyFill="1" applyAlignment="1">
      <alignment horizontal="left" indent="3"/>
    </xf>
    <xf numFmtId="165" fontId="7" fillId="4" borderId="5" xfId="1" applyNumberFormat="1" applyFont="1" applyFill="1" applyBorder="1" applyAlignment="1">
      <alignment horizontal="center" vertical="center"/>
    </xf>
    <xf numFmtId="165" fontId="4" fillId="5" borderId="4" xfId="1" applyNumberFormat="1" applyFont="1" applyFill="1" applyBorder="1" applyAlignment="1">
      <alignment horizontal="center" vertical="center"/>
    </xf>
    <xf numFmtId="165" fontId="9" fillId="4" borderId="3" xfId="1" applyNumberFormat="1" applyFont="1" applyFill="1" applyBorder="1" applyAlignment="1">
      <alignment horizontal="center" vertical="center"/>
    </xf>
    <xf numFmtId="165" fontId="4" fillId="4" borderId="4" xfId="1" applyNumberFormat="1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/>
    </xf>
    <xf numFmtId="0" fontId="5" fillId="4" borderId="9" xfId="3" applyFont="1" applyFill="1" applyBorder="1" applyAlignment="1">
      <alignment horizontal="left" vertical="center"/>
    </xf>
    <xf numFmtId="0" fontId="3" fillId="4" borderId="9" xfId="3" applyFont="1" applyFill="1" applyBorder="1" applyAlignment="1">
      <alignment horizontal="left" indent="3"/>
    </xf>
    <xf numFmtId="1" fontId="4" fillId="4" borderId="3" xfId="3" applyNumberFormat="1" applyFont="1" applyFill="1" applyBorder="1" applyAlignment="1">
      <alignment horizontal="right" vertical="center" wrapText="1"/>
    </xf>
    <xf numFmtId="0" fontId="5" fillId="4" borderId="6" xfId="3" applyFont="1" applyFill="1" applyBorder="1" applyAlignment="1">
      <alignment horizontal="left" indent="3"/>
    </xf>
    <xf numFmtId="0" fontId="6" fillId="4" borderId="10" xfId="3" applyFont="1" applyFill="1" applyBorder="1" applyAlignment="1">
      <alignment horizontal="left" indent="3"/>
    </xf>
    <xf numFmtId="0" fontId="5" fillId="4" borderId="11" xfId="3" applyFont="1" applyFill="1" applyBorder="1" applyAlignment="1">
      <alignment horizontal="left"/>
    </xf>
    <xf numFmtId="0" fontId="3" fillId="4" borderId="11" xfId="3" applyFont="1" applyFill="1" applyBorder="1" applyAlignment="1">
      <alignment horizontal="left" indent="3"/>
    </xf>
    <xf numFmtId="0" fontId="6" fillId="4" borderId="9" xfId="3" applyFont="1" applyFill="1" applyBorder="1" applyAlignment="1">
      <alignment horizontal="left" indent="3"/>
    </xf>
    <xf numFmtId="0" fontId="6" fillId="4" borderId="11" xfId="3" applyFont="1" applyFill="1" applyBorder="1" applyAlignment="1">
      <alignment horizontal="left" indent="3"/>
    </xf>
    <xf numFmtId="0" fontId="6" fillId="4" borderId="12" xfId="3" applyFont="1" applyFill="1" applyBorder="1" applyAlignment="1">
      <alignment horizontal="left" indent="3"/>
    </xf>
    <xf numFmtId="0" fontId="5" fillId="4" borderId="9" xfId="3" applyFont="1" applyFill="1" applyBorder="1" applyAlignment="1">
      <alignment horizontal="left"/>
    </xf>
    <xf numFmtId="0" fontId="5" fillId="5" borderId="6" xfId="3" applyFont="1" applyFill="1" applyBorder="1" applyAlignment="1">
      <alignment horizontal="left"/>
    </xf>
    <xf numFmtId="0" fontId="6" fillId="4" borderId="9" xfId="3" applyFont="1" applyFill="1" applyBorder="1" applyAlignment="1">
      <alignment horizontal="left"/>
    </xf>
    <xf numFmtId="0" fontId="8" fillId="4" borderId="9" xfId="3" applyFont="1" applyFill="1" applyBorder="1" applyAlignment="1">
      <alignment horizontal="left" indent="3"/>
    </xf>
    <xf numFmtId="0" fontId="5" fillId="4" borderId="6" xfId="3" applyFont="1" applyFill="1" applyBorder="1" applyAlignment="1">
      <alignment horizontal="left"/>
    </xf>
    <xf numFmtId="0" fontId="10" fillId="3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indent="3"/>
    </xf>
    <xf numFmtId="0" fontId="11" fillId="4" borderId="6" xfId="0" applyFont="1" applyFill="1" applyBorder="1" applyAlignment="1">
      <alignment horizontal="left" indent="3"/>
    </xf>
    <xf numFmtId="0" fontId="12" fillId="4" borderId="10" xfId="0" applyFont="1" applyFill="1" applyBorder="1" applyAlignment="1">
      <alignment horizontal="left" indent="3"/>
    </xf>
    <xf numFmtId="0" fontId="11" fillId="4" borderId="11" xfId="0" applyFont="1" applyFill="1" applyBorder="1" applyAlignment="1">
      <alignment horizontal="left"/>
    </xf>
    <xf numFmtId="0" fontId="10" fillId="4" borderId="11" xfId="0" applyFont="1" applyFill="1" applyBorder="1" applyAlignment="1">
      <alignment horizontal="left" indent="3"/>
    </xf>
    <xf numFmtId="0" fontId="12" fillId="4" borderId="9" xfId="0" applyFont="1" applyFill="1" applyBorder="1" applyAlignment="1">
      <alignment horizontal="left" indent="3"/>
    </xf>
    <xf numFmtId="0" fontId="12" fillId="4" borderId="0" xfId="0" applyFont="1" applyFill="1" applyAlignment="1">
      <alignment horizontal="left" indent="3"/>
    </xf>
    <xf numFmtId="0" fontId="12" fillId="4" borderId="11" xfId="0" applyFont="1" applyFill="1" applyBorder="1" applyAlignment="1">
      <alignment horizontal="left" indent="3"/>
    </xf>
    <xf numFmtId="0" fontId="12" fillId="4" borderId="12" xfId="0" applyFont="1" applyFill="1" applyBorder="1" applyAlignment="1">
      <alignment horizontal="left" indent="3"/>
    </xf>
    <xf numFmtId="0" fontId="11" fillId="4" borderId="9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0" fontId="12" fillId="4" borderId="9" xfId="0" applyFont="1" applyFill="1" applyBorder="1" applyAlignment="1">
      <alignment horizontal="left"/>
    </xf>
    <xf numFmtId="0" fontId="13" fillId="4" borderId="9" xfId="0" applyFont="1" applyFill="1" applyBorder="1" applyAlignment="1">
      <alignment horizontal="left" indent="3"/>
    </xf>
    <xf numFmtId="0" fontId="11" fillId="4" borderId="6" xfId="0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_Formats MC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27" workbookViewId="0">
      <selection activeCell="H33" sqref="H33"/>
    </sheetView>
  </sheetViews>
  <sheetFormatPr defaultRowHeight="15" x14ac:dyDescent="0.25"/>
  <cols>
    <col min="1" max="1" width="15" customWidth="1"/>
    <col min="2" max="2" width="14.28515625" customWidth="1"/>
    <col min="3" max="3" width="15" customWidth="1"/>
    <col min="4" max="4" width="14.28515625" customWidth="1"/>
    <col min="5" max="5" width="22.7109375" customWidth="1"/>
    <col min="6" max="6" width="19.5703125" customWidth="1"/>
    <col min="7" max="7" width="43.42578125" customWidth="1"/>
    <col min="8" max="8" width="15.42578125" customWidth="1"/>
    <col min="9" max="9" width="14.140625" bestFit="1" customWidth="1"/>
    <col min="10" max="10" width="14.28515625" bestFit="1" customWidth="1"/>
  </cols>
  <sheetData>
    <row r="1" spans="1:10" ht="4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30" t="s">
        <v>4</v>
      </c>
      <c r="F1" s="30" t="s">
        <v>5</v>
      </c>
      <c r="G1" s="13" t="s">
        <v>6</v>
      </c>
      <c r="H1" s="1" t="s">
        <v>43</v>
      </c>
      <c r="I1" s="1" t="s">
        <v>7</v>
      </c>
      <c r="J1" s="1" t="s">
        <v>8</v>
      </c>
    </row>
    <row r="2" spans="1:10" ht="15.75" customHeight="1" x14ac:dyDescent="0.25">
      <c r="A2" s="2"/>
      <c r="B2" s="2"/>
      <c r="C2" s="2"/>
      <c r="D2" s="2"/>
      <c r="E2" s="31"/>
      <c r="F2" s="31"/>
      <c r="G2" s="14"/>
      <c r="H2" s="2"/>
      <c r="I2" s="2"/>
      <c r="J2" s="2"/>
    </row>
    <row r="3" spans="1:10" ht="16.5" customHeight="1" x14ac:dyDescent="0.25">
      <c r="A3" s="3"/>
      <c r="B3" s="3"/>
      <c r="C3" s="3"/>
      <c r="D3" s="3"/>
      <c r="E3" s="32"/>
      <c r="F3" s="32"/>
      <c r="G3" s="15" t="s">
        <v>9</v>
      </c>
      <c r="H3" s="3"/>
      <c r="I3" s="3"/>
      <c r="J3" s="3"/>
    </row>
    <row r="4" spans="1:10" ht="15.75" customHeight="1" x14ac:dyDescent="0.25">
      <c r="A4" s="3">
        <v>1000</v>
      </c>
      <c r="B4" s="3">
        <v>1000</v>
      </c>
      <c r="C4" s="3">
        <v>1000</v>
      </c>
      <c r="D4" s="3">
        <v>1000</v>
      </c>
      <c r="E4" s="33">
        <v>1000</v>
      </c>
      <c r="F4" s="33">
        <v>1000</v>
      </c>
      <c r="G4" s="16" t="s">
        <v>10</v>
      </c>
      <c r="H4" s="3">
        <v>1000</v>
      </c>
      <c r="I4" s="3">
        <v>1000</v>
      </c>
      <c r="J4" s="3">
        <v>1000</v>
      </c>
    </row>
    <row r="5" spans="1:10" ht="15.75" customHeight="1" x14ac:dyDescent="0.25">
      <c r="A5" s="5">
        <v>930.33333333333337</v>
      </c>
      <c r="B5" s="5">
        <v>930.33333333333337</v>
      </c>
      <c r="C5" s="17">
        <v>967</v>
      </c>
      <c r="D5" s="17">
        <v>967</v>
      </c>
      <c r="E5" s="33">
        <v>1028</v>
      </c>
      <c r="F5" s="33">
        <v>1028</v>
      </c>
      <c r="G5" s="16" t="s">
        <v>11</v>
      </c>
      <c r="H5" s="3">
        <v>1004</v>
      </c>
      <c r="I5" s="3">
        <v>1016</v>
      </c>
      <c r="J5" s="3">
        <v>1016</v>
      </c>
    </row>
    <row r="6" spans="1:10" ht="16.5" customHeight="1" x14ac:dyDescent="0.25">
      <c r="A6" s="4">
        <v>0.93033333333333335</v>
      </c>
      <c r="B6" s="4">
        <v>0.93033333333333335</v>
      </c>
      <c r="C6" s="4">
        <v>0.96699999999999997</v>
      </c>
      <c r="D6" s="4">
        <v>0.96699999999999997</v>
      </c>
      <c r="E6" s="34">
        <v>1.028</v>
      </c>
      <c r="F6" s="34">
        <v>1.028</v>
      </c>
      <c r="G6" s="18" t="s">
        <v>12</v>
      </c>
      <c r="H6" s="4">
        <v>1.004</v>
      </c>
      <c r="I6" s="4">
        <v>1.016</v>
      </c>
      <c r="J6" s="4">
        <v>1.016</v>
      </c>
    </row>
    <row r="7" spans="1:10" ht="15.75" customHeight="1" x14ac:dyDescent="0.25">
      <c r="A7" s="5"/>
      <c r="B7" s="5"/>
      <c r="C7" s="5"/>
      <c r="D7" s="5"/>
      <c r="E7" s="35"/>
      <c r="F7" s="35"/>
      <c r="G7" s="19"/>
      <c r="H7" s="5"/>
      <c r="I7" s="5"/>
      <c r="J7" s="5"/>
    </row>
    <row r="8" spans="1:10" ht="16.5" customHeight="1" x14ac:dyDescent="0.25">
      <c r="A8" s="5"/>
      <c r="B8" s="5"/>
      <c r="C8" s="5"/>
      <c r="D8" s="5"/>
      <c r="E8" s="36"/>
      <c r="F8" s="36"/>
      <c r="G8" s="20" t="s">
        <v>13</v>
      </c>
      <c r="H8" s="5"/>
      <c r="I8" s="5"/>
      <c r="J8" s="5"/>
    </row>
    <row r="9" spans="1:10" ht="15.75" customHeight="1" x14ac:dyDescent="0.25">
      <c r="A9" s="6">
        <v>345.4</v>
      </c>
      <c r="B9" s="6">
        <v>10362</v>
      </c>
      <c r="C9" s="6">
        <v>356.48387096774201</v>
      </c>
      <c r="D9" s="6">
        <v>11051</v>
      </c>
      <c r="E9" s="37">
        <v>12.766666666666669</v>
      </c>
      <c r="F9" s="37">
        <v>383</v>
      </c>
      <c r="G9" s="21" t="s">
        <v>14</v>
      </c>
      <c r="H9" s="6">
        <v>595</v>
      </c>
      <c r="I9" s="6">
        <v>489</v>
      </c>
      <c r="J9" s="6">
        <v>15159</v>
      </c>
    </row>
    <row r="10" spans="1:10" ht="15.75" customHeight="1" x14ac:dyDescent="0.25">
      <c r="A10" s="6">
        <v>3003.3666666666668</v>
      </c>
      <c r="B10" s="6">
        <v>90101</v>
      </c>
      <c r="C10" s="6">
        <v>3099.8064516129029</v>
      </c>
      <c r="D10" s="6">
        <v>96094</v>
      </c>
      <c r="E10" s="37">
        <v>124.8</v>
      </c>
      <c r="F10" s="37">
        <v>3744</v>
      </c>
      <c r="G10" s="21" t="s">
        <v>15</v>
      </c>
      <c r="H10" s="6">
        <v>4673</v>
      </c>
      <c r="I10" s="6">
        <v>4208.5</v>
      </c>
      <c r="J10" s="6">
        <v>130463.5</v>
      </c>
    </row>
    <row r="11" spans="1:10" ht="15.75" customHeight="1" x14ac:dyDescent="0.25">
      <c r="A11" s="6">
        <v>260.26666666666671</v>
      </c>
      <c r="B11" s="6">
        <v>7808</v>
      </c>
      <c r="C11" s="6">
        <v>260.51612903225799</v>
      </c>
      <c r="D11" s="6">
        <v>8076</v>
      </c>
      <c r="E11" s="37">
        <v>9.9666666666666668</v>
      </c>
      <c r="F11" s="37">
        <v>299</v>
      </c>
      <c r="G11" s="21" t="s">
        <v>16</v>
      </c>
      <c r="H11" s="6">
        <v>337</v>
      </c>
      <c r="I11" s="6">
        <v>318</v>
      </c>
      <c r="J11" s="6">
        <v>9858</v>
      </c>
    </row>
    <row r="12" spans="1:10" ht="15.75" customHeight="1" x14ac:dyDescent="0.25">
      <c r="A12" s="7">
        <v>200.76666666666671</v>
      </c>
      <c r="B12" s="7">
        <v>6023</v>
      </c>
      <c r="C12" s="7">
        <v>194.45161290322579</v>
      </c>
      <c r="D12" s="7">
        <v>6028</v>
      </c>
      <c r="E12" s="38">
        <v>7.5666666666666664</v>
      </c>
      <c r="F12" s="38">
        <v>227</v>
      </c>
      <c r="G12" s="22" t="s">
        <v>17</v>
      </c>
      <c r="H12" s="7">
        <v>263</v>
      </c>
      <c r="I12" s="7">
        <v>245.5</v>
      </c>
      <c r="J12" s="7">
        <v>7610.5</v>
      </c>
    </row>
    <row r="13" spans="1:10" ht="15.75" customHeight="1" x14ac:dyDescent="0.25">
      <c r="A13" s="7">
        <v>30.2</v>
      </c>
      <c r="B13" s="7">
        <v>906</v>
      </c>
      <c r="C13" s="7">
        <v>35.58064516129032</v>
      </c>
      <c r="D13" s="7">
        <v>1103</v>
      </c>
      <c r="E13" s="38">
        <v>1.3</v>
      </c>
      <c r="F13" s="38">
        <v>39</v>
      </c>
      <c r="G13" s="22" t="s">
        <v>18</v>
      </c>
      <c r="H13" s="7">
        <v>36</v>
      </c>
      <c r="I13" s="7">
        <v>37.5</v>
      </c>
      <c r="J13" s="7">
        <v>1162.5</v>
      </c>
    </row>
    <row r="14" spans="1:10" ht="15.75" customHeight="1" x14ac:dyDescent="0.25">
      <c r="A14" s="7">
        <v>25.866666666666671</v>
      </c>
      <c r="B14" s="7">
        <v>776</v>
      </c>
      <c r="C14" s="7">
        <v>27</v>
      </c>
      <c r="D14" s="7">
        <v>837</v>
      </c>
      <c r="E14" s="38">
        <v>1.033333333333333</v>
      </c>
      <c r="F14" s="38">
        <v>31</v>
      </c>
      <c r="G14" s="22" t="s">
        <v>19</v>
      </c>
      <c r="H14" s="7">
        <v>37</v>
      </c>
      <c r="I14" s="7">
        <v>33.5</v>
      </c>
      <c r="J14" s="7">
        <v>1038.5</v>
      </c>
    </row>
    <row r="15" spans="1:10" ht="15.75" customHeight="1" x14ac:dyDescent="0.25">
      <c r="A15" s="7">
        <v>0.76666666666666672</v>
      </c>
      <c r="B15" s="7">
        <v>23</v>
      </c>
      <c r="C15" s="7">
        <v>0.83870967741935487</v>
      </c>
      <c r="D15" s="7">
        <v>26</v>
      </c>
      <c r="E15" s="38">
        <v>0</v>
      </c>
      <c r="F15" s="38">
        <v>0</v>
      </c>
      <c r="G15" s="22" t="s">
        <v>20</v>
      </c>
      <c r="H15" s="7">
        <v>0</v>
      </c>
      <c r="I15" s="7">
        <v>0</v>
      </c>
      <c r="J15" s="7">
        <v>0</v>
      </c>
    </row>
    <row r="16" spans="1:10" ht="15.75" customHeight="1" x14ac:dyDescent="0.25">
      <c r="A16" s="7">
        <v>2.666666666666667</v>
      </c>
      <c r="B16" s="7">
        <v>80</v>
      </c>
      <c r="C16" s="7">
        <v>2.645161290322581</v>
      </c>
      <c r="D16" s="7">
        <v>82</v>
      </c>
      <c r="E16" s="38">
        <v>6.6666666666666666E-2</v>
      </c>
      <c r="F16" s="38">
        <v>2</v>
      </c>
      <c r="G16" s="22" t="s">
        <v>21</v>
      </c>
      <c r="H16" s="7">
        <v>1</v>
      </c>
      <c r="I16" s="7">
        <v>1.5</v>
      </c>
      <c r="J16" s="7">
        <v>46.5</v>
      </c>
    </row>
    <row r="17" spans="1:10" ht="15.75" customHeight="1" x14ac:dyDescent="0.25">
      <c r="A17" s="7"/>
      <c r="B17" s="7"/>
      <c r="C17" s="7"/>
      <c r="D17" s="7"/>
      <c r="E17" s="39"/>
      <c r="F17" s="39"/>
      <c r="G17" s="8"/>
      <c r="H17" s="7"/>
      <c r="I17" s="7"/>
      <c r="J17" s="7"/>
    </row>
    <row r="18" spans="1:10" ht="15.75" customHeight="1" x14ac:dyDescent="0.25">
      <c r="A18" s="7">
        <v>44.366666666666667</v>
      </c>
      <c r="B18" s="7">
        <v>1331</v>
      </c>
      <c r="C18" s="7">
        <v>44.58064516129032</v>
      </c>
      <c r="D18" s="7">
        <v>1382</v>
      </c>
      <c r="E18" s="39">
        <v>1.7333333333333329</v>
      </c>
      <c r="F18" s="39">
        <v>52</v>
      </c>
      <c r="G18" s="8" t="s">
        <v>22</v>
      </c>
      <c r="H18" s="7">
        <v>35</v>
      </c>
      <c r="I18" s="7">
        <v>40</v>
      </c>
      <c r="J18" s="7">
        <v>1240</v>
      </c>
    </row>
    <row r="19" spans="1:10" ht="15.75" customHeight="1" x14ac:dyDescent="0.25">
      <c r="A19" s="7">
        <v>74.7</v>
      </c>
      <c r="B19" s="7">
        <v>2241</v>
      </c>
      <c r="C19" s="7">
        <v>80.064516129032256</v>
      </c>
      <c r="D19" s="7">
        <v>2482</v>
      </c>
      <c r="E19" s="39">
        <v>2.6333333333333329</v>
      </c>
      <c r="F19" s="39">
        <v>79</v>
      </c>
      <c r="G19" s="8" t="s">
        <v>23</v>
      </c>
      <c r="H19" s="7">
        <v>105</v>
      </c>
      <c r="I19" s="7">
        <v>81.5</v>
      </c>
      <c r="J19" s="7">
        <v>2526.5</v>
      </c>
    </row>
    <row r="20" spans="1:10" ht="15.75" customHeight="1" x14ac:dyDescent="0.25">
      <c r="A20" s="7">
        <v>129.3666666666667</v>
      </c>
      <c r="B20" s="7">
        <v>3881</v>
      </c>
      <c r="C20" s="7">
        <v>124.6774193548387</v>
      </c>
      <c r="D20" s="7">
        <v>3865</v>
      </c>
      <c r="E20" s="39">
        <v>5.2666666666666666</v>
      </c>
      <c r="F20" s="39">
        <v>158</v>
      </c>
      <c r="G20" s="8" t="s">
        <v>24</v>
      </c>
      <c r="H20" s="7">
        <v>188</v>
      </c>
      <c r="I20" s="7">
        <v>97</v>
      </c>
      <c r="J20" s="7">
        <v>3007</v>
      </c>
    </row>
    <row r="21" spans="1:10" ht="15.75" customHeight="1" x14ac:dyDescent="0.25">
      <c r="A21" s="7"/>
      <c r="B21" s="7"/>
      <c r="C21" s="7"/>
      <c r="D21" s="7"/>
      <c r="E21" s="39"/>
      <c r="F21" s="39"/>
      <c r="G21" s="8"/>
      <c r="H21" s="7"/>
      <c r="I21" s="7"/>
      <c r="J21" s="7"/>
    </row>
    <row r="22" spans="1:10" ht="15.75" customHeight="1" x14ac:dyDescent="0.25">
      <c r="A22" s="6">
        <v>262.5</v>
      </c>
      <c r="B22" s="6">
        <v>7875</v>
      </c>
      <c r="C22" s="6">
        <v>261.03225806451621</v>
      </c>
      <c r="D22" s="6">
        <v>8092</v>
      </c>
      <c r="E22" s="37">
        <v>10.266666666666669</v>
      </c>
      <c r="F22" s="37">
        <v>308</v>
      </c>
      <c r="G22" s="21" t="s">
        <v>25</v>
      </c>
      <c r="H22" s="6">
        <v>319</v>
      </c>
      <c r="I22" s="6">
        <v>312.5</v>
      </c>
      <c r="J22" s="6">
        <v>9687.5</v>
      </c>
    </row>
    <row r="23" spans="1:10" ht="15.75" customHeight="1" x14ac:dyDescent="0.25">
      <c r="A23" s="7">
        <v>193.6</v>
      </c>
      <c r="B23" s="7">
        <v>5808</v>
      </c>
      <c r="C23" s="7">
        <v>189.64516129032259</v>
      </c>
      <c r="D23" s="7">
        <v>5879</v>
      </c>
      <c r="E23" s="40">
        <v>7.6333333333333337</v>
      </c>
      <c r="F23" s="40">
        <v>229</v>
      </c>
      <c r="G23" s="23" t="s">
        <v>17</v>
      </c>
      <c r="H23" s="7">
        <v>230</v>
      </c>
      <c r="I23" s="7">
        <v>230</v>
      </c>
      <c r="J23" s="7">
        <v>7130</v>
      </c>
    </row>
    <row r="24" spans="1:10" ht="15.75" customHeight="1" x14ac:dyDescent="0.25">
      <c r="A24" s="7">
        <v>38.43333333333333</v>
      </c>
      <c r="B24" s="7">
        <v>1153</v>
      </c>
      <c r="C24" s="7">
        <v>39.903225806451623</v>
      </c>
      <c r="D24" s="7">
        <v>1237</v>
      </c>
      <c r="E24" s="40">
        <v>1.3666666666666669</v>
      </c>
      <c r="F24" s="40">
        <v>41</v>
      </c>
      <c r="G24" s="23" t="s">
        <v>18</v>
      </c>
      <c r="H24" s="7">
        <v>56</v>
      </c>
      <c r="I24" s="7">
        <v>48.5</v>
      </c>
      <c r="J24" s="7">
        <v>1503.5</v>
      </c>
    </row>
    <row r="25" spans="1:10" ht="15.75" customHeight="1" x14ac:dyDescent="0.25">
      <c r="A25" s="7">
        <v>26.8</v>
      </c>
      <c r="B25" s="7">
        <v>804</v>
      </c>
      <c r="C25" s="7">
        <v>27.161290322580641</v>
      </c>
      <c r="D25" s="7">
        <v>842</v>
      </c>
      <c r="E25" s="40">
        <v>1.2333333333333329</v>
      </c>
      <c r="F25" s="40">
        <v>37</v>
      </c>
      <c r="G25" s="23" t="s">
        <v>19</v>
      </c>
      <c r="H25" s="7">
        <v>31</v>
      </c>
      <c r="I25" s="7">
        <v>33.5</v>
      </c>
      <c r="J25" s="7">
        <v>1038.5</v>
      </c>
    </row>
    <row r="26" spans="1:10" ht="15.75" customHeight="1" x14ac:dyDescent="0.25">
      <c r="A26" s="7">
        <v>0.8666666666666667</v>
      </c>
      <c r="B26" s="7">
        <v>26</v>
      </c>
      <c r="C26" s="7">
        <v>0.67741935483870963</v>
      </c>
      <c r="D26" s="7">
        <v>21</v>
      </c>
      <c r="E26" s="40">
        <v>0</v>
      </c>
      <c r="F26" s="40">
        <v>0</v>
      </c>
      <c r="G26" s="23" t="s">
        <v>20</v>
      </c>
      <c r="H26" s="7">
        <v>0</v>
      </c>
      <c r="I26" s="7">
        <v>0</v>
      </c>
      <c r="J26" s="7">
        <v>0</v>
      </c>
    </row>
    <row r="27" spans="1:10" ht="15.75" customHeight="1" x14ac:dyDescent="0.25">
      <c r="A27" s="9">
        <v>2.8</v>
      </c>
      <c r="B27" s="9">
        <v>84</v>
      </c>
      <c r="C27" s="9">
        <v>3.645161290322581</v>
      </c>
      <c r="D27" s="9">
        <v>113</v>
      </c>
      <c r="E27" s="41">
        <v>3.3333333333333333E-2</v>
      </c>
      <c r="F27" s="41">
        <v>1</v>
      </c>
      <c r="G27" s="24" t="s">
        <v>26</v>
      </c>
      <c r="H27" s="9">
        <v>2</v>
      </c>
      <c r="I27" s="9">
        <v>0.5</v>
      </c>
      <c r="J27" s="9">
        <v>15.5</v>
      </c>
    </row>
    <row r="28" spans="1:10" ht="15.75" customHeight="1" x14ac:dyDescent="0.25">
      <c r="A28" s="7"/>
      <c r="B28" s="7"/>
      <c r="C28" s="7"/>
      <c r="D28" s="7"/>
      <c r="E28" s="39"/>
      <c r="F28" s="39"/>
      <c r="G28" s="8"/>
      <c r="H28" s="7"/>
      <c r="I28" s="7"/>
      <c r="J28" s="7"/>
    </row>
    <row r="29" spans="1:10" ht="15.75" customHeight="1" x14ac:dyDescent="0.25">
      <c r="A29" s="7">
        <v>22.033333333333331</v>
      </c>
      <c r="B29" s="7">
        <v>661</v>
      </c>
      <c r="C29" s="7">
        <v>21.258064516129028</v>
      </c>
      <c r="D29" s="7">
        <v>659</v>
      </c>
      <c r="E29" s="39">
        <v>0.46666666666666667</v>
      </c>
      <c r="F29" s="39">
        <v>14</v>
      </c>
      <c r="G29" s="8" t="s">
        <v>27</v>
      </c>
      <c r="H29" s="7">
        <v>23</v>
      </c>
      <c r="I29" s="7">
        <v>18.5</v>
      </c>
      <c r="J29" s="7">
        <v>573.5</v>
      </c>
    </row>
    <row r="30" spans="1:10" ht="15.75" customHeight="1" x14ac:dyDescent="0.25">
      <c r="A30" s="7"/>
      <c r="B30" s="7"/>
      <c r="C30" s="7"/>
      <c r="D30" s="7"/>
      <c r="E30" s="39"/>
      <c r="F30" s="39"/>
      <c r="G30" s="8"/>
      <c r="H30" s="7"/>
      <c r="I30" s="7"/>
      <c r="J30" s="7"/>
    </row>
    <row r="31" spans="1:10" ht="16.5" customHeight="1" x14ac:dyDescent="0.25">
      <c r="A31" s="6"/>
      <c r="B31" s="6"/>
      <c r="C31" s="6"/>
      <c r="D31" s="6"/>
      <c r="E31" s="42"/>
      <c r="F31" s="42"/>
      <c r="G31" s="25" t="s">
        <v>28</v>
      </c>
      <c r="H31" s="6"/>
      <c r="I31" s="6"/>
      <c r="J31" s="6"/>
    </row>
    <row r="32" spans="1:10" ht="15.75" customHeight="1" x14ac:dyDescent="0.25">
      <c r="A32" s="6">
        <v>7779345.0696666678</v>
      </c>
      <c r="B32" s="6">
        <v>233380352.09</v>
      </c>
      <c r="C32" s="6">
        <v>7946354.1077419352</v>
      </c>
      <c r="D32" s="6">
        <v>246336977.34</v>
      </c>
      <c r="E32" s="33">
        <v>328274.87033333333</v>
      </c>
      <c r="F32" s="33">
        <v>9848246.1099999994</v>
      </c>
      <c r="G32" s="16" t="s">
        <v>29</v>
      </c>
      <c r="H32" s="6">
        <v>12665376.199999999</v>
      </c>
      <c r="I32" s="6">
        <v>11245597.895</v>
      </c>
      <c r="J32" s="6">
        <v>348613534.745</v>
      </c>
    </row>
    <row r="33" spans="1:10" ht="15.75" customHeight="1" x14ac:dyDescent="0.25">
      <c r="A33" s="6">
        <v>18815569.686000001</v>
      </c>
      <c r="B33" s="6">
        <v>564467090.57999992</v>
      </c>
      <c r="C33" s="6">
        <v>18455359.695483871</v>
      </c>
      <c r="D33" s="6">
        <v>572116150.55999994</v>
      </c>
      <c r="E33" s="33">
        <v>586434.22533333325</v>
      </c>
      <c r="F33" s="33">
        <v>17593026.760000002</v>
      </c>
      <c r="G33" s="16" t="s">
        <v>30</v>
      </c>
      <c r="H33" s="6">
        <v>19636328.219999999</v>
      </c>
      <c r="I33" s="6">
        <v>18627420.105</v>
      </c>
      <c r="J33" s="6">
        <v>577450023.25499988</v>
      </c>
    </row>
    <row r="34" spans="1:10" ht="16.5" customHeight="1" x14ac:dyDescent="0.25">
      <c r="A34" s="10">
        <v>26594914.755666669</v>
      </c>
      <c r="B34" s="10">
        <v>797847442.66999996</v>
      </c>
      <c r="C34" s="10">
        <v>26401713.803225812</v>
      </c>
      <c r="D34" s="10">
        <v>818453127.89999998</v>
      </c>
      <c r="E34" s="43">
        <v>914709.09566666663</v>
      </c>
      <c r="F34" s="43">
        <v>27441272.870000001</v>
      </c>
      <c r="G34" s="26" t="s">
        <v>31</v>
      </c>
      <c r="H34" s="10">
        <v>32301704.419999998</v>
      </c>
      <c r="I34" s="10">
        <v>29873018</v>
      </c>
      <c r="J34" s="10">
        <v>926063558</v>
      </c>
    </row>
    <row r="35" spans="1:10" ht="15.75" customHeight="1" x14ac:dyDescent="0.25">
      <c r="A35" s="7"/>
      <c r="B35" s="7"/>
      <c r="C35" s="7"/>
      <c r="D35" s="7"/>
      <c r="E35" s="44"/>
      <c r="F35" s="44"/>
      <c r="G35" s="27"/>
      <c r="H35" s="7"/>
      <c r="I35" s="7"/>
      <c r="J35" s="7"/>
    </row>
    <row r="36" spans="1:10" ht="16.5" customHeight="1" x14ac:dyDescent="0.25">
      <c r="A36" s="7"/>
      <c r="B36" s="7"/>
      <c r="C36" s="7"/>
      <c r="D36" s="7"/>
      <c r="E36" s="42"/>
      <c r="F36" s="42"/>
      <c r="G36" s="25" t="s">
        <v>28</v>
      </c>
      <c r="H36" s="7"/>
      <c r="I36" s="7"/>
      <c r="J36" s="7"/>
    </row>
    <row r="37" spans="1:10" ht="15.75" customHeight="1" x14ac:dyDescent="0.25">
      <c r="A37" s="7">
        <v>25148845.671999998</v>
      </c>
      <c r="B37" s="7">
        <v>754465370.16000009</v>
      </c>
      <c r="C37" s="7">
        <v>24937813.347096771</v>
      </c>
      <c r="D37" s="7">
        <v>773072213.75999999</v>
      </c>
      <c r="E37" s="38">
        <v>866390.51599999995</v>
      </c>
      <c r="F37" s="38">
        <v>25991715.48</v>
      </c>
      <c r="G37" s="22" t="s">
        <v>32</v>
      </c>
      <c r="H37" s="7">
        <v>31132390.350000001</v>
      </c>
      <c r="I37" s="7">
        <v>28916648.164999999</v>
      </c>
      <c r="J37" s="7">
        <v>896416093.11500001</v>
      </c>
    </row>
    <row r="38" spans="1:10" ht="15.75" customHeight="1" x14ac:dyDescent="0.25">
      <c r="A38" s="7">
        <v>1446069.084333333</v>
      </c>
      <c r="B38" s="7">
        <v>43382072.529999986</v>
      </c>
      <c r="C38" s="7">
        <v>1463900.456451613</v>
      </c>
      <c r="D38" s="7">
        <v>45380914.149999999</v>
      </c>
      <c r="E38" s="38">
        <v>48318.579666666657</v>
      </c>
      <c r="F38" s="38">
        <v>1449557.39</v>
      </c>
      <c r="G38" s="22" t="s">
        <v>33</v>
      </c>
      <c r="H38" s="7">
        <v>1169314.07</v>
      </c>
      <c r="I38" s="7">
        <v>899691.18499999994</v>
      </c>
      <c r="J38" s="7">
        <v>27890426.734999999</v>
      </c>
    </row>
    <row r="39" spans="1:10" ht="16.5" customHeight="1" x14ac:dyDescent="0.25">
      <c r="A39" s="10">
        <v>26594914.75633334</v>
      </c>
      <c r="B39" s="10">
        <v>797847442.69000006</v>
      </c>
      <c r="C39" s="10">
        <v>26401713.803548381</v>
      </c>
      <c r="D39" s="10">
        <v>818453127.90999997</v>
      </c>
      <c r="E39" s="43">
        <v>914709.09566666663</v>
      </c>
      <c r="F39" s="43">
        <v>27441272.870000001</v>
      </c>
      <c r="G39" s="26" t="s">
        <v>31</v>
      </c>
      <c r="H39" s="10">
        <v>32301704.420000002</v>
      </c>
      <c r="I39" s="10">
        <v>29816339.350000001</v>
      </c>
      <c r="J39" s="10">
        <v>924306519.85000002</v>
      </c>
    </row>
    <row r="40" spans="1:10" ht="15.75" customHeight="1" x14ac:dyDescent="0.25">
      <c r="A40" s="7"/>
      <c r="B40" s="7"/>
      <c r="C40" s="7"/>
      <c r="D40" s="7"/>
      <c r="E40" s="44"/>
      <c r="F40" s="44"/>
      <c r="G40" s="27"/>
      <c r="H40" s="7"/>
      <c r="I40" s="7"/>
      <c r="J40" s="7"/>
    </row>
    <row r="41" spans="1:10" ht="16.5" customHeight="1" x14ac:dyDescent="0.25">
      <c r="A41" s="7"/>
      <c r="B41" s="7"/>
      <c r="C41" s="7"/>
      <c r="D41" s="7"/>
      <c r="E41" s="42"/>
      <c r="F41" s="42"/>
      <c r="G41" s="25" t="s">
        <v>28</v>
      </c>
      <c r="H41" s="7"/>
      <c r="I41" s="7"/>
      <c r="J41" s="7"/>
    </row>
    <row r="42" spans="1:10" ht="16.5" customHeight="1" x14ac:dyDescent="0.25">
      <c r="A42" s="7"/>
      <c r="B42" s="7"/>
      <c r="C42" s="7"/>
      <c r="D42" s="7"/>
      <c r="E42" s="42"/>
      <c r="F42" s="42"/>
      <c r="G42" s="25"/>
      <c r="H42" s="7"/>
      <c r="I42" s="7"/>
      <c r="J42" s="7"/>
    </row>
    <row r="43" spans="1:10" ht="18" customHeight="1" x14ac:dyDescent="0.25">
      <c r="A43" s="6"/>
      <c r="B43" s="6"/>
      <c r="C43" s="6"/>
      <c r="D43" s="6"/>
      <c r="E43" s="45"/>
      <c r="F43" s="45"/>
      <c r="G43" s="28" t="s">
        <v>34</v>
      </c>
      <c r="H43" s="6"/>
      <c r="I43" s="6"/>
      <c r="J43" s="6"/>
    </row>
    <row r="44" spans="1:10" ht="15.75" customHeight="1" x14ac:dyDescent="0.25">
      <c r="A44" s="6">
        <v>15356913.085000001</v>
      </c>
      <c r="B44" s="6">
        <v>460707392.55000007</v>
      </c>
      <c r="C44" s="6">
        <v>14745637.771290321</v>
      </c>
      <c r="D44" s="6">
        <v>457114770.91000003</v>
      </c>
      <c r="E44" s="33">
        <v>568197.51</v>
      </c>
      <c r="F44" s="33">
        <v>17045925.300000001</v>
      </c>
      <c r="G44" s="16" t="s">
        <v>32</v>
      </c>
      <c r="H44" s="6">
        <v>19690670.73</v>
      </c>
      <c r="I44" s="6">
        <v>18488636.515000001</v>
      </c>
      <c r="J44" s="6">
        <v>573147731.96500003</v>
      </c>
    </row>
    <row r="45" spans="1:10" ht="15.75" customHeight="1" x14ac:dyDescent="0.25">
      <c r="A45" s="6">
        <v>312972.73099999991</v>
      </c>
      <c r="B45" s="6">
        <v>9389181.9299999978</v>
      </c>
      <c r="C45" s="6">
        <v>479109.62870967737</v>
      </c>
      <c r="D45" s="6">
        <v>14852398.49</v>
      </c>
      <c r="E45" s="33">
        <v>5620.666666666667</v>
      </c>
      <c r="F45" s="33">
        <v>168620</v>
      </c>
      <c r="G45" s="16" t="s">
        <v>33</v>
      </c>
      <c r="H45" s="6">
        <v>464204.98</v>
      </c>
      <c r="I45" s="6">
        <v>259222.49</v>
      </c>
      <c r="J45" s="6">
        <v>8035897.1899999985</v>
      </c>
    </row>
    <row r="46" spans="1:10" ht="15.75" customHeight="1" x14ac:dyDescent="0.25">
      <c r="A46" s="6"/>
      <c r="B46" s="6"/>
      <c r="C46" s="6"/>
      <c r="D46" s="6"/>
      <c r="E46" s="38"/>
      <c r="F46" s="38"/>
      <c r="G46" s="22"/>
      <c r="H46" s="6"/>
      <c r="I46" s="6"/>
      <c r="J46" s="6"/>
    </row>
    <row r="47" spans="1:10" ht="18" customHeight="1" x14ac:dyDescent="0.25">
      <c r="A47" s="6"/>
      <c r="B47" s="6"/>
      <c r="C47" s="6"/>
      <c r="D47" s="6"/>
      <c r="E47" s="45"/>
      <c r="F47" s="45"/>
      <c r="G47" s="28" t="s">
        <v>35</v>
      </c>
      <c r="H47" s="6"/>
      <c r="I47" s="6"/>
      <c r="J47" s="6"/>
    </row>
    <row r="48" spans="1:10" ht="15.75" customHeight="1" x14ac:dyDescent="0.25">
      <c r="A48" s="6">
        <v>9791932.5869999994</v>
      </c>
      <c r="B48" s="6">
        <v>293757977.61000001</v>
      </c>
      <c r="C48" s="6">
        <v>10192175.57580645</v>
      </c>
      <c r="D48" s="6">
        <v>315957442.85000002</v>
      </c>
      <c r="E48" s="33">
        <v>298193.00599999999</v>
      </c>
      <c r="F48" s="33">
        <v>8945790.1799999997</v>
      </c>
      <c r="G48" s="16" t="s">
        <v>32</v>
      </c>
      <c r="H48" s="6">
        <v>11441719.620000001</v>
      </c>
      <c r="I48" s="6">
        <v>10428011.65</v>
      </c>
      <c r="J48" s="6">
        <v>323268361.14999998</v>
      </c>
    </row>
    <row r="49" spans="1:10" ht="15.75" customHeight="1" x14ac:dyDescent="0.25">
      <c r="A49" s="7">
        <v>2956538.4573333329</v>
      </c>
      <c r="B49" s="7">
        <v>88696153.719999984</v>
      </c>
      <c r="C49" s="7">
        <v>2837884.3412903231</v>
      </c>
      <c r="D49" s="7">
        <v>87974414.579999998</v>
      </c>
      <c r="E49" s="38">
        <v>106886.63466666669</v>
      </c>
      <c r="F49" s="38">
        <v>3206599.040000001</v>
      </c>
      <c r="G49" s="22" t="s">
        <v>36</v>
      </c>
      <c r="H49" s="7">
        <v>2929328.92</v>
      </c>
      <c r="I49" s="7">
        <v>3009389.2650000001</v>
      </c>
      <c r="J49" s="7">
        <v>93291067.215000004</v>
      </c>
    </row>
    <row r="50" spans="1:10" ht="15.75" customHeight="1" x14ac:dyDescent="0.25">
      <c r="A50" s="7">
        <v>114988.73699999999</v>
      </c>
      <c r="B50" s="7">
        <v>3449662.11</v>
      </c>
      <c r="C50" s="7">
        <v>115145.89548387101</v>
      </c>
      <c r="D50" s="7">
        <v>3569522.76</v>
      </c>
      <c r="E50" s="38">
        <v>0</v>
      </c>
      <c r="F50" s="38">
        <v>0</v>
      </c>
      <c r="G50" s="22" t="s">
        <v>37</v>
      </c>
      <c r="H50" s="7">
        <v>0</v>
      </c>
      <c r="I50" s="7">
        <v>0</v>
      </c>
      <c r="J50" s="7">
        <v>0</v>
      </c>
    </row>
    <row r="51" spans="1:10" ht="15.75" customHeight="1" x14ac:dyDescent="0.25">
      <c r="A51" s="7">
        <v>5792975.1653333334</v>
      </c>
      <c r="B51" s="7">
        <v>173789254.96000001</v>
      </c>
      <c r="C51" s="7">
        <v>6153580.188387095</v>
      </c>
      <c r="D51" s="7">
        <v>190760985.83999991</v>
      </c>
      <c r="E51" s="38">
        <v>180811.38966666671</v>
      </c>
      <c r="F51" s="38">
        <v>5424341.6900000004</v>
      </c>
      <c r="G51" s="22" t="s">
        <v>38</v>
      </c>
      <c r="H51" s="7">
        <v>8098667.54</v>
      </c>
      <c r="I51" s="7">
        <v>7111014.7300000004</v>
      </c>
      <c r="J51" s="7">
        <v>220441456.63</v>
      </c>
    </row>
    <row r="52" spans="1:10" ht="15.75" customHeight="1" x14ac:dyDescent="0.25">
      <c r="A52" s="7">
        <v>927430.22733333323</v>
      </c>
      <c r="B52" s="7">
        <v>27822906.82</v>
      </c>
      <c r="C52" s="7">
        <v>1085565.150645161</v>
      </c>
      <c r="D52" s="7">
        <v>33652519.669999987</v>
      </c>
      <c r="E52" s="38">
        <v>10494.98166666667</v>
      </c>
      <c r="F52" s="38">
        <v>314849.45</v>
      </c>
      <c r="G52" s="22" t="s">
        <v>39</v>
      </c>
      <c r="H52" s="7">
        <v>413723.16</v>
      </c>
      <c r="I52" s="7">
        <v>307607.65500000003</v>
      </c>
      <c r="J52" s="7">
        <v>9535837.3050000016</v>
      </c>
    </row>
    <row r="53" spans="1:10" ht="15.75" customHeight="1" x14ac:dyDescent="0.25">
      <c r="A53" s="7"/>
      <c r="B53" s="7"/>
      <c r="C53" s="7"/>
      <c r="D53" s="7"/>
      <c r="E53" s="38"/>
      <c r="F53" s="38"/>
      <c r="G53" s="22"/>
      <c r="H53" s="7"/>
      <c r="I53" s="7"/>
      <c r="J53" s="7"/>
    </row>
    <row r="54" spans="1:10" ht="15.75" customHeight="1" x14ac:dyDescent="0.25">
      <c r="A54" s="6">
        <v>1133096.353333333</v>
      </c>
      <c r="B54" s="6">
        <v>33992890.599999987</v>
      </c>
      <c r="C54" s="6">
        <v>984790.82774193527</v>
      </c>
      <c r="D54" s="6">
        <v>30528515.66</v>
      </c>
      <c r="E54" s="33">
        <v>42697.912999999993</v>
      </c>
      <c r="F54" s="33">
        <v>1280937.3899999999</v>
      </c>
      <c r="G54" s="16" t="s">
        <v>33</v>
      </c>
      <c r="H54" s="6">
        <v>705109.09</v>
      </c>
      <c r="I54" s="6">
        <v>640468.69499999995</v>
      </c>
      <c r="J54" s="6">
        <v>19854529.545000002</v>
      </c>
    </row>
    <row r="55" spans="1:10" ht="15.75" customHeight="1" x14ac:dyDescent="0.25">
      <c r="A55" s="7">
        <v>1041864.030333333</v>
      </c>
      <c r="B55" s="7">
        <v>31255920.91</v>
      </c>
      <c r="C55" s="7">
        <v>707343.24677419337</v>
      </c>
      <c r="D55" s="7">
        <v>21927640.649999991</v>
      </c>
      <c r="E55" s="38">
        <v>0</v>
      </c>
      <c r="F55" s="38">
        <v>0</v>
      </c>
      <c r="G55" s="22" t="s">
        <v>40</v>
      </c>
      <c r="H55" s="7">
        <v>705109.09</v>
      </c>
      <c r="I55" s="7">
        <v>0</v>
      </c>
      <c r="J55" s="7">
        <v>0</v>
      </c>
    </row>
    <row r="56" spans="1:10" ht="15.75" customHeight="1" x14ac:dyDescent="0.25">
      <c r="A56" s="7">
        <v>91232.323000000004</v>
      </c>
      <c r="B56" s="7">
        <v>2736969.69</v>
      </c>
      <c r="C56" s="7">
        <v>277447.5809677419</v>
      </c>
      <c r="D56" s="7">
        <v>8600875.0099999998</v>
      </c>
      <c r="E56" s="38">
        <v>42697.912999999993</v>
      </c>
      <c r="F56" s="38">
        <v>1280937.3899999999</v>
      </c>
      <c r="G56" s="22" t="s">
        <v>39</v>
      </c>
      <c r="H56" s="7"/>
      <c r="I56" s="7">
        <v>640468.69499999995</v>
      </c>
      <c r="J56" s="7">
        <v>19854529.545000002</v>
      </c>
    </row>
    <row r="57" spans="1:10" ht="16.5" customHeight="1" x14ac:dyDescent="0.25">
      <c r="A57" s="10">
        <v>26594914.75633334</v>
      </c>
      <c r="B57" s="10">
        <v>797847442.69000018</v>
      </c>
      <c r="C57" s="10">
        <v>26401713.803548381</v>
      </c>
      <c r="D57" s="10">
        <v>818453127.90999997</v>
      </c>
      <c r="E57" s="43">
        <v>914709.09566666663</v>
      </c>
      <c r="F57" s="43">
        <v>27441272.870000001</v>
      </c>
      <c r="G57" s="26" t="s">
        <v>31</v>
      </c>
      <c r="H57" s="10">
        <v>32301704.420000002</v>
      </c>
      <c r="I57" s="10">
        <v>29873018</v>
      </c>
      <c r="J57" s="10">
        <v>926063558</v>
      </c>
    </row>
    <row r="58" spans="1:10" ht="15.75" customHeight="1" x14ac:dyDescent="0.25">
      <c r="A58" s="6"/>
      <c r="B58" s="6"/>
      <c r="C58" s="6"/>
      <c r="D58" s="6"/>
      <c r="E58" s="44"/>
      <c r="F58" s="44"/>
      <c r="G58" s="27"/>
      <c r="H58" s="6"/>
      <c r="I58" s="6"/>
      <c r="J58" s="6"/>
    </row>
    <row r="59" spans="1:10" ht="19.5" customHeight="1" x14ac:dyDescent="0.25">
      <c r="A59" s="11"/>
      <c r="B59" s="11"/>
      <c r="C59" s="11"/>
      <c r="D59" s="11"/>
      <c r="E59" s="44"/>
      <c r="F59" s="44"/>
      <c r="G59" s="27"/>
      <c r="H59" s="11"/>
      <c r="I59" s="11"/>
      <c r="J59" s="11"/>
    </row>
    <row r="60" spans="1:10" ht="16.5" customHeight="1" x14ac:dyDescent="0.25">
      <c r="A60" s="12">
        <v>8167677.291333341</v>
      </c>
      <c r="B60" s="12">
        <v>245030318.74000019</v>
      </c>
      <c r="C60" s="12">
        <v>8148915.1151612997</v>
      </c>
      <c r="D60" s="12">
        <v>252616368.57000029</v>
      </c>
      <c r="E60" s="46">
        <v>322239.60833333328</v>
      </c>
      <c r="F60" s="46">
        <v>9667188.25</v>
      </c>
      <c r="G60" s="29" t="s">
        <v>41</v>
      </c>
      <c r="H60" s="12">
        <v>10790230.369999925</v>
      </c>
      <c r="I60" s="12">
        <v>6824141.3250000002</v>
      </c>
      <c r="J60" s="12">
        <v>211548381.07499999</v>
      </c>
    </row>
    <row r="61" spans="1:10" ht="16.5" customHeight="1" x14ac:dyDescent="0.25">
      <c r="A61" s="6"/>
      <c r="B61" s="6"/>
      <c r="C61" s="6"/>
      <c r="D61" s="6"/>
      <c r="E61" s="42"/>
      <c r="F61" s="42"/>
      <c r="G61" s="25"/>
      <c r="H61" s="6"/>
      <c r="I61" s="6"/>
      <c r="J61" s="6"/>
    </row>
    <row r="62" spans="1:10" ht="15.75" customHeight="1" x14ac:dyDescent="0.25">
      <c r="A62" s="7"/>
      <c r="B62" s="7"/>
      <c r="C62" s="7"/>
      <c r="D62" s="7"/>
      <c r="E62" s="44"/>
      <c r="F62" s="44"/>
      <c r="G62" s="27"/>
      <c r="H62" s="7"/>
      <c r="I62" s="7"/>
      <c r="J62" s="7"/>
    </row>
    <row r="63" spans="1:10" ht="16.5" customHeight="1" x14ac:dyDescent="0.25">
      <c r="A63" s="10">
        <v>18427237.465</v>
      </c>
      <c r="B63" s="10">
        <v>552817123.94999993</v>
      </c>
      <c r="C63" s="10">
        <v>18252798.688387081</v>
      </c>
      <c r="D63" s="10">
        <v>565836759.33999968</v>
      </c>
      <c r="E63" s="43">
        <v>592469.48733333324</v>
      </c>
      <c r="F63" s="43">
        <v>17774084.620000001</v>
      </c>
      <c r="G63" s="26" t="s">
        <v>42</v>
      </c>
      <c r="H63" s="10">
        <v>21511474.050000079</v>
      </c>
      <c r="I63" s="10">
        <f>I57-I60</f>
        <v>23048876.675000001</v>
      </c>
      <c r="J63" s="10">
        <f>J57-J60</f>
        <v>714515176.92499995</v>
      </c>
    </row>
    <row r="64" spans="1:10" ht="15.75" customHeight="1" x14ac:dyDescent="0.25">
      <c r="H64" s="7"/>
    </row>
    <row r="65" spans="8:8" ht="15.75" customHeight="1" x14ac:dyDescent="0.25">
      <c r="H65" s="7"/>
    </row>
    <row r="66" spans="8:8" ht="16.5" customHeight="1" x14ac:dyDescent="0.25">
      <c r="H66" s="6"/>
    </row>
    <row r="67" spans="8:8" ht="15.75" customHeight="1" x14ac:dyDescent="0.25">
      <c r="H67" s="7">
        <v>10142698</v>
      </c>
    </row>
    <row r="68" spans="8:8" ht="15.75" customHeight="1" x14ac:dyDescent="0.25">
      <c r="H68" s="7">
        <v>16274384</v>
      </c>
    </row>
    <row r="69" spans="8:8" ht="15.75" customHeight="1" x14ac:dyDescent="0.25">
      <c r="H69" s="7">
        <v>15621062.799999995</v>
      </c>
    </row>
    <row r="70" spans="8:8" ht="15.75" customHeight="1" x14ac:dyDescent="0.25">
      <c r="H70" s="7">
        <v>0</v>
      </c>
    </row>
    <row r="71" spans="8:8" ht="15.75" customHeight="1" x14ac:dyDescent="0.25">
      <c r="H71" s="7">
        <v>270593</v>
      </c>
    </row>
    <row r="72" spans="8:8" ht="15.75" customHeight="1" x14ac:dyDescent="0.25">
      <c r="H72" s="7">
        <v>703</v>
      </c>
    </row>
    <row r="73" spans="8:8" ht="17.25" customHeight="1" x14ac:dyDescent="0.25">
      <c r="H73" s="10">
        <v>41766848.799999997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Dikshant Agrawal</cp:lastModifiedBy>
  <dcterms:created xsi:type="dcterms:W3CDTF">2015-06-05T18:17:20Z</dcterms:created>
  <dcterms:modified xsi:type="dcterms:W3CDTF">2026-07-23T03:44:25Z</dcterms:modified>
</cp:coreProperties>
</file>