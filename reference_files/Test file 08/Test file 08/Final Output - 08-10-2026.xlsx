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5" autoFilterDateGrouping="1"/>
  </bookViews>
  <sheets>
    <sheet xmlns:r="http://schemas.openxmlformats.org/officeDocument/2006/relationships" name="Final outpu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2"/>
    </font>
    <font>
      <name val="Inherit"/>
      <b val="1"/>
      <color rgb="FF000000"/>
      <sz val="12"/>
    </font>
    <font>
      <name val="Inherit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FF0000"/>
      <sz val="11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color theme="1"/>
      <sz val="11"/>
    </font>
    <font>
      <name val="Arial"/>
      <family val="2"/>
      <b val="1"/>
      <sz val="13"/>
    </font>
    <font>
      <name val="Arial"/>
      <family val="2"/>
      <sz val="12"/>
    </font>
    <font>
      <name val="Arial"/>
      <family val="2"/>
      <color theme="1"/>
      <sz val="11"/>
    </font>
    <font>
      <name val="Arial"/>
      <family val="2"/>
      <b val="1"/>
      <sz val="14"/>
    </font>
    <font>
      <name val="Arial"/>
      <family val="2"/>
      <b val="1"/>
      <color theme="1"/>
      <sz val="11"/>
      <u val="singleAccounting"/>
    </font>
    <font>
      <name val="Arial"/>
      <b val="1"/>
      <sz val="12"/>
    </font>
    <font>
      <name val="Arial"/>
      <b val="1"/>
      <sz val="13"/>
    </font>
    <font>
      <name val="Arial"/>
      <sz val="12"/>
    </font>
    <font>
      <name val="Arial"/>
      <b val="1"/>
      <sz val="14"/>
    </font>
    <font>
      <name val="Arial"/>
      <color theme="1"/>
      <sz val="1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3999755851924192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9" fontId="1" fillId="0" borderId="0"/>
    <xf numFmtId="0" fontId="9" fillId="0" borderId="0"/>
  </cellStyleXfs>
  <cellXfs count="87">
    <xf numFmtId="0" fontId="0" fillId="0" borderId="0" pivotButton="0" quotePrefix="0" xfId="0"/>
    <xf numFmtId="0" fontId="6" fillId="0" borderId="1" applyAlignment="1" pivotButton="0" quotePrefix="0" xfId="0">
      <alignment vertical="center" wrapText="1"/>
    </xf>
    <xf numFmtId="0" fontId="7" fillId="0" borderId="3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3" fillId="0" borderId="0" pivotButton="0" quotePrefix="0" xfId="0"/>
    <xf numFmtId="0" fontId="11" fillId="4" borderId="6" applyAlignment="1" pivotButton="0" quotePrefix="0" xfId="3">
      <alignment horizontal="center" vertical="center" wrapText="1"/>
    </xf>
    <xf numFmtId="0" fontId="11" fillId="5" borderId="7" applyAlignment="1" pivotButton="0" quotePrefix="0" xfId="3">
      <alignment horizontal="right" vertical="center" wrapText="1"/>
    </xf>
    <xf numFmtId="0" fontId="11" fillId="5" borderId="8" applyAlignment="1" pivotButton="0" quotePrefix="0" xfId="3">
      <alignment horizontal="right" vertical="center" wrapText="1"/>
    </xf>
    <xf numFmtId="9" fontId="11" fillId="3" borderId="9" applyAlignment="1" pivotButton="0" quotePrefix="0" xfId="2">
      <alignment horizontal="right" vertical="center" wrapText="1"/>
    </xf>
    <xf numFmtId="164" fontId="11" fillId="5" borderId="8" applyAlignment="1" pivotButton="0" quotePrefix="0" xfId="3">
      <alignment horizontal="right" vertical="center" wrapText="1"/>
    </xf>
    <xf numFmtId="164" fontId="11" fillId="5" borderId="8" applyAlignment="1" pivotButton="0" quotePrefix="0" xfId="1">
      <alignment horizontal="center" vertical="center"/>
    </xf>
    <xf numFmtId="164" fontId="14" fillId="5" borderId="8" applyAlignment="1" pivotButton="0" quotePrefix="0" xfId="1">
      <alignment horizontal="center" vertical="center"/>
    </xf>
    <xf numFmtId="0" fontId="13" fillId="5" borderId="0" applyAlignment="1" pivotButton="0" quotePrefix="0" xfId="3">
      <alignment horizontal="left" indent="3"/>
    </xf>
    <xf numFmtId="164" fontId="14" fillId="5" borderId="10" applyAlignment="1" pivotButton="0" quotePrefix="0" xfId="1">
      <alignment horizontal="center" vertical="center"/>
    </xf>
    <xf numFmtId="164" fontId="11" fillId="6" borderId="9" applyAlignment="1" pivotButton="0" quotePrefix="0" xfId="1">
      <alignment horizontal="center" vertical="center"/>
    </xf>
    <xf numFmtId="164" fontId="16" fillId="5" borderId="8" applyAlignment="1" pivotButton="0" quotePrefix="0" xfId="1">
      <alignment horizontal="center" vertical="center"/>
    </xf>
    <xf numFmtId="164" fontId="11" fillId="5" borderId="9" applyAlignment="1" pivotButton="0" quotePrefix="0" xfId="1">
      <alignment horizontal="center" vertical="center"/>
    </xf>
    <xf numFmtId="0" fontId="5" fillId="2" borderId="3" applyAlignment="1" pivotButton="0" quotePrefix="0" xfId="0">
      <alignment horizontal="center" vertical="center" readingOrder="1"/>
    </xf>
    <xf numFmtId="0" fontId="5" fillId="2" borderId="4" applyAlignment="1" pivotButton="0" quotePrefix="0" xfId="0">
      <alignment horizontal="center" vertical="center" readingOrder="1"/>
    </xf>
    <xf numFmtId="0" fontId="5" fillId="2" borderId="4" applyAlignment="1" pivotButton="0" quotePrefix="0" xfId="0">
      <alignment horizontal="center" vertical="center" wrapText="1" readingOrder="1"/>
    </xf>
    <xf numFmtId="0" fontId="4" fillId="2" borderId="3" applyAlignment="1" pivotButton="0" quotePrefix="0" xfId="0">
      <alignment horizontal="center" vertical="center" readingOrder="1"/>
    </xf>
    <xf numFmtId="0" fontId="4" fillId="2" borderId="4" applyAlignment="1" pivotButton="0" quotePrefix="0" xfId="0">
      <alignment horizontal="center" vertical="center" readingOrder="1"/>
    </xf>
    <xf numFmtId="14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20" fontId="0" fillId="0" borderId="0" pivotButton="0" quotePrefix="0" xfId="0"/>
    <xf numFmtId="4" fontId="0" fillId="0" borderId="0" pivotButton="0" quotePrefix="0" xfId="0"/>
    <xf numFmtId="0" fontId="3" fillId="0" borderId="5" pivotButton="0" quotePrefix="0" xfId="0"/>
    <xf numFmtId="0" fontId="0" fillId="0" borderId="5" pivotButton="0" quotePrefix="0" xfId="0"/>
    <xf numFmtId="0" fontId="0" fillId="0" borderId="5" pivotButton="0" quotePrefix="0" xfId="0"/>
    <xf numFmtId="0" fontId="10" fillId="4" borderId="14" applyAlignment="1" pivotButton="0" quotePrefix="0" xfId="3">
      <alignment horizontal="center" vertical="center"/>
    </xf>
    <xf numFmtId="0" fontId="10" fillId="5" borderId="15" applyAlignment="1" pivotButton="0" quotePrefix="0" xfId="3">
      <alignment horizontal="center" vertical="center"/>
    </xf>
    <xf numFmtId="0" fontId="12" fillId="5" borderId="16" applyAlignment="1" pivotButton="0" quotePrefix="0" xfId="3">
      <alignment horizontal="left" vertical="center"/>
    </xf>
    <xf numFmtId="0" fontId="10" fillId="5" borderId="16" applyAlignment="1" pivotButton="0" quotePrefix="0" xfId="3">
      <alignment horizontal="left" indent="3"/>
    </xf>
    <xf numFmtId="1" fontId="11" fillId="5" borderId="8" applyAlignment="1" pivotButton="0" quotePrefix="0" xfId="3">
      <alignment horizontal="right" vertical="center" wrapText="1"/>
    </xf>
    <xf numFmtId="0" fontId="12" fillId="5" borderId="11" applyAlignment="1" pivotButton="0" quotePrefix="0" xfId="3">
      <alignment horizontal="left" indent="3"/>
    </xf>
    <xf numFmtId="0" fontId="13" fillId="5" borderId="17" applyAlignment="1" pivotButton="0" quotePrefix="0" xfId="3">
      <alignment horizontal="left" indent="3"/>
    </xf>
    <xf numFmtId="0" fontId="12" fillId="5" borderId="18" applyAlignment="1" pivotButton="0" quotePrefix="0" xfId="3">
      <alignment horizontal="left"/>
    </xf>
    <xf numFmtId="0" fontId="10" fillId="5" borderId="18" applyAlignment="1" pivotButton="0" quotePrefix="0" xfId="3">
      <alignment horizontal="left" indent="3"/>
    </xf>
    <xf numFmtId="0" fontId="13" fillId="5" borderId="16" applyAlignment="1" pivotButton="0" quotePrefix="0" xfId="3">
      <alignment horizontal="left" indent="3"/>
    </xf>
    <xf numFmtId="0" fontId="13" fillId="5" borderId="18" applyAlignment="1" pivotButton="0" quotePrefix="0" xfId="3">
      <alignment horizontal="left" indent="3"/>
    </xf>
    <xf numFmtId="0" fontId="13" fillId="5" borderId="19" applyAlignment="1" pivotButton="0" quotePrefix="0" xfId="3">
      <alignment horizontal="left" indent="3"/>
    </xf>
    <xf numFmtId="0" fontId="12" fillId="5" borderId="16" applyAlignment="1" pivotButton="0" quotePrefix="0" xfId="3">
      <alignment horizontal="left"/>
    </xf>
    <xf numFmtId="0" fontId="12" fillId="6" borderId="11" applyAlignment="1" pivotButton="0" quotePrefix="0" xfId="3">
      <alignment horizontal="left"/>
    </xf>
    <xf numFmtId="0" fontId="13" fillId="5" borderId="16" applyAlignment="1" pivotButton="0" quotePrefix="0" xfId="3">
      <alignment horizontal="left"/>
    </xf>
    <xf numFmtId="0" fontId="15" fillId="5" borderId="16" applyAlignment="1" pivotButton="0" quotePrefix="0" xfId="3">
      <alignment horizontal="left" indent="3"/>
    </xf>
    <xf numFmtId="0" fontId="12" fillId="5" borderId="11" applyAlignment="1" pivotButton="0" quotePrefix="0" xfId="3">
      <alignment horizontal="left"/>
    </xf>
    <xf numFmtId="0" fontId="13" fillId="5" borderId="16" pivotButton="0" quotePrefix="0" xfId="3"/>
    <xf numFmtId="2" fontId="12" fillId="6" borderId="20" applyAlignment="1" pivotButton="0" quotePrefix="0" xfId="3">
      <alignment horizontal="left" vertical="center"/>
    </xf>
    <xf numFmtId="0" fontId="5" fillId="2" borderId="12" applyAlignment="1" pivotButton="0" quotePrefix="0" xfId="0">
      <alignment horizontal="center" vertical="center" readingOrder="1"/>
    </xf>
    <xf numFmtId="0" fontId="5" fillId="2" borderId="13" applyAlignment="1" pivotButton="0" quotePrefix="0" xfId="0">
      <alignment horizontal="center" vertical="center" readingOrder="1"/>
    </xf>
    <xf numFmtId="0" fontId="5" fillId="2" borderId="2" applyAlignment="1" pivotButton="0" quotePrefix="0" xfId="0">
      <alignment horizontal="center" vertical="center" readingOrder="1"/>
    </xf>
    <xf numFmtId="0" fontId="3" fillId="3" borderId="5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readingOrder="1"/>
    </xf>
    <xf numFmtId="0" fontId="0" fillId="0" borderId="13" pivotButton="0" quotePrefix="0" xfId="0"/>
    <xf numFmtId="0" fontId="0" fillId="0" borderId="2" pivotButton="0" quotePrefix="0" xfId="0"/>
    <xf numFmtId="0" fontId="0" fillId="0" borderId="25" pivotButton="0" quotePrefix="0" xfId="0"/>
    <xf numFmtId="0" fontId="0" fillId="0" borderId="26" pivotButton="0" quotePrefix="0" xfId="0"/>
    <xf numFmtId="164" fontId="14" fillId="5" borderId="8" applyAlignment="1" pivotButton="0" quotePrefix="0" xfId="0">
      <alignment horizontal="center" vertical="center"/>
    </xf>
    <xf numFmtId="0" fontId="12" fillId="5" borderId="16" applyAlignment="1" pivotButton="0" quotePrefix="0" xfId="0">
      <alignment horizontal="left"/>
    </xf>
    <xf numFmtId="164" fontId="11" fillId="5" borderId="8" applyAlignment="1" pivotButton="0" quotePrefix="0" xfId="0">
      <alignment horizontal="center" vertical="center"/>
    </xf>
    <xf numFmtId="0" fontId="10" fillId="5" borderId="16" applyAlignment="1" pivotButton="0" quotePrefix="0" xfId="0">
      <alignment horizontal="left" indent="3"/>
    </xf>
    <xf numFmtId="164" fontId="11" fillId="6" borderId="9" applyAlignment="1" pivotButton="0" quotePrefix="0" xfId="0">
      <alignment horizontal="center" vertical="center"/>
    </xf>
    <xf numFmtId="0" fontId="12" fillId="6" borderId="11" applyAlignment="1" pivotButton="0" quotePrefix="0" xfId="0">
      <alignment horizontal="left"/>
    </xf>
    <xf numFmtId="0" fontId="14" fillId="5" borderId="8" applyAlignment="1" pivotButton="0" quotePrefix="0" xfId="0">
      <alignment horizontal="center" vertical="center"/>
    </xf>
    <xf numFmtId="0" fontId="11" fillId="5" borderId="8" applyAlignment="1" pivotButton="0" quotePrefix="0" xfId="0">
      <alignment horizontal="center" vertical="center"/>
    </xf>
    <xf numFmtId="0" fontId="11" fillId="6" borderId="9" applyAlignment="1" pivotButton="0" quotePrefix="0" xfId="0">
      <alignment horizontal="center" vertical="center"/>
    </xf>
    <xf numFmtId="0" fontId="17" fillId="4" borderId="14" applyAlignment="1" pivotButton="0" quotePrefix="0" xfId="0">
      <alignment horizontal="center" vertical="center"/>
    </xf>
    <xf numFmtId="0" fontId="17" fillId="5" borderId="15" applyAlignment="1" pivotButton="0" quotePrefix="0" xfId="0">
      <alignment horizontal="center" vertical="center"/>
    </xf>
    <xf numFmtId="0" fontId="18" fillId="5" borderId="16" applyAlignment="1" pivotButton="0" quotePrefix="0" xfId="0">
      <alignment horizontal="left" vertical="center"/>
    </xf>
    <xf numFmtId="0" fontId="17" fillId="5" borderId="16" applyAlignment="1" pivotButton="0" quotePrefix="0" xfId="0">
      <alignment horizontal="left" indent="3"/>
    </xf>
    <xf numFmtId="0" fontId="18" fillId="5" borderId="11" applyAlignment="1" pivotButton="0" quotePrefix="0" xfId="0">
      <alignment horizontal="left" indent="3"/>
    </xf>
    <xf numFmtId="0" fontId="19" fillId="5" borderId="17" applyAlignment="1" pivotButton="0" quotePrefix="0" xfId="0">
      <alignment horizontal="left" indent="3"/>
    </xf>
    <xf numFmtId="0" fontId="18" fillId="5" borderId="18" applyAlignment="1" pivotButton="0" quotePrefix="0" xfId="0">
      <alignment horizontal="left"/>
    </xf>
    <xf numFmtId="0" fontId="17" fillId="5" borderId="18" applyAlignment="1" pivotButton="0" quotePrefix="0" xfId="0">
      <alignment horizontal="left" indent="3"/>
    </xf>
    <xf numFmtId="0" fontId="19" fillId="5" borderId="16" applyAlignment="1" pivotButton="0" quotePrefix="0" xfId="0">
      <alignment horizontal="left" indent="3"/>
    </xf>
    <xf numFmtId="0" fontId="19" fillId="5" borderId="0" applyAlignment="1" pivotButton="0" quotePrefix="0" xfId="0">
      <alignment horizontal="left" indent="3"/>
    </xf>
    <xf numFmtId="0" fontId="19" fillId="5" borderId="18" applyAlignment="1" pivotButton="0" quotePrefix="0" xfId="0">
      <alignment horizontal="left" indent="3"/>
    </xf>
    <xf numFmtId="0" fontId="19" fillId="5" borderId="19" applyAlignment="1" pivotButton="0" quotePrefix="0" xfId="0">
      <alignment horizontal="left" indent="3"/>
    </xf>
    <xf numFmtId="0" fontId="18" fillId="5" borderId="16" applyAlignment="1" pivotButton="0" quotePrefix="0" xfId="0">
      <alignment horizontal="left"/>
    </xf>
    <xf numFmtId="0" fontId="18" fillId="6" borderId="11" applyAlignment="1" pivotButton="0" quotePrefix="0" xfId="0">
      <alignment horizontal="left"/>
    </xf>
    <xf numFmtId="0" fontId="19" fillId="5" borderId="16" applyAlignment="1" pivotButton="0" quotePrefix="0" xfId="0">
      <alignment horizontal="left"/>
    </xf>
    <xf numFmtId="0" fontId="20" fillId="5" borderId="16" applyAlignment="1" pivotButton="0" quotePrefix="0" xfId="0">
      <alignment horizontal="left" indent="3"/>
    </xf>
    <xf numFmtId="0" fontId="18" fillId="5" borderId="11" applyAlignment="1" pivotButton="0" quotePrefix="0" xfId="0">
      <alignment horizontal="left"/>
    </xf>
    <xf numFmtId="0" fontId="21" fillId="0" borderId="0" pivotButton="0" quotePrefix="0" xfId="0"/>
  </cellXfs>
  <cellStyles count="4">
    <cellStyle name="Normal" xfId="0" builtinId="0"/>
    <cellStyle name="Comma" xfId="1" builtinId="3"/>
    <cellStyle name="Percent" xfId="2" builtinId="5"/>
    <cellStyle name="Normal_Formats MC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tabSelected="1" workbookViewId="0">
      <selection activeCell="K10" sqref="K10"/>
    </sheetView>
  </sheetViews>
  <sheetFormatPr baseColWidth="8" defaultRowHeight="15"/>
  <cols>
    <col width="19" customWidth="1" min="1" max="1"/>
    <col width="19.85546875" customWidth="1" min="2" max="2"/>
    <col width="16" customWidth="1" min="3" max="3"/>
    <col width="16.42578125" customWidth="1" min="4" max="4"/>
    <col width="33.140625" customWidth="1" min="5" max="5"/>
    <col width="15.42578125" customWidth="1" min="6" max="7"/>
    <col width="16.5703125" customWidth="1" min="8" max="8"/>
  </cols>
  <sheetData>
    <row r="1" ht="30.75" customHeight="1" thickBot="1">
      <c r="A1" s="5" t="inlineStr">
        <is>
          <t>Daily Average April</t>
        </is>
      </c>
      <c r="B1" s="5" t="inlineStr">
        <is>
          <t xml:space="preserve">MTD April   </t>
        </is>
      </c>
      <c r="C1" s="5" t="inlineStr">
        <is>
          <t>Daily Average May</t>
        </is>
      </c>
      <c r="D1" s="5" t="inlineStr">
        <is>
          <t>MTD May</t>
        </is>
      </c>
      <c r="E1" s="69" t="inlineStr">
        <is>
          <t>Daily Average June</t>
        </is>
      </c>
      <c r="F1" s="69" t="inlineStr">
        <is>
          <t>MTD June</t>
        </is>
      </c>
      <c r="G1" s="69" t="inlineStr">
        <is>
          <t>Daily Average September</t>
        </is>
      </c>
      <c r="H1" s="69" t="inlineStr">
        <is>
          <t>MTD September</t>
        </is>
      </c>
      <c r="I1" s="32" t="inlineStr">
        <is>
          <t>Particulars</t>
        </is>
      </c>
      <c r="J1" s="5" t="inlineStr">
        <is>
          <t>As on 08 Oct 2026</t>
        </is>
      </c>
      <c r="K1" s="5" t="inlineStr">
        <is>
          <t>Daily Average October</t>
        </is>
      </c>
      <c r="L1" s="5" t="inlineStr">
        <is>
          <t>MTD October (Proj)</t>
        </is>
      </c>
    </row>
    <row r="2" ht="15.75" customHeight="1">
      <c r="A2" s="6" t="n"/>
      <c r="B2" s="6" t="n"/>
      <c r="C2" s="6" t="n"/>
      <c r="D2" s="6" t="n"/>
      <c r="E2" s="70" t="n"/>
      <c r="F2" s="70" t="n"/>
      <c r="G2" s="70" t="n"/>
      <c r="H2" s="70" t="n"/>
      <c r="I2" s="33" t="n"/>
      <c r="J2" s="6" t="n"/>
      <c r="K2" s="6" t="n"/>
      <c r="L2" s="6" t="n"/>
    </row>
    <row r="3" ht="16.5" customHeight="1">
      <c r="A3" s="7" t="n"/>
      <c r="B3" s="7" t="n"/>
      <c r="C3" s="7" t="n"/>
      <c r="D3" s="7" t="n"/>
      <c r="E3" s="71" t="n"/>
      <c r="F3" s="71" t="n"/>
      <c r="G3" s="71" t="n"/>
      <c r="H3" s="71" t="n"/>
      <c r="I3" s="34" t="inlineStr">
        <is>
          <t>Occupancy</t>
        </is>
      </c>
      <c r="J3" s="7" t="n"/>
      <c r="K3" s="7" t="n"/>
      <c r="L3" s="7" t="n"/>
    </row>
    <row r="4" ht="15.75" customHeight="1">
      <c r="A4" s="7" t="n">
        <v>1000</v>
      </c>
      <c r="B4" s="7" t="n">
        <v>1000</v>
      </c>
      <c r="C4" s="7" t="n">
        <v>1000</v>
      </c>
      <c r="D4" s="7" t="n">
        <v>1000</v>
      </c>
      <c r="E4" s="72" t="n">
        <v>1000</v>
      </c>
      <c r="F4" s="72" t="n">
        <v>1000</v>
      </c>
      <c r="G4" s="72" t="n">
        <v>1000</v>
      </c>
      <c r="H4" s="72" t="n">
        <v>1000</v>
      </c>
      <c r="I4" s="35" t="inlineStr">
        <is>
          <t>Bed Strength</t>
        </is>
      </c>
      <c r="J4" s="7" t="n">
        <v>1000</v>
      </c>
      <c r="K4" s="7" t="n">
        <v>1000</v>
      </c>
      <c r="L4" s="7" t="n">
        <v>1000</v>
      </c>
    </row>
    <row r="5" ht="15.75" customHeight="1">
      <c r="A5" s="9" t="n">
        <v>930.3333333333334</v>
      </c>
      <c r="B5" s="9" t="n">
        <v>930.3333333333334</v>
      </c>
      <c r="C5" s="36" t="n">
        <v>967</v>
      </c>
      <c r="D5" s="36" t="n">
        <v>967</v>
      </c>
      <c r="E5" s="72" t="n">
        <v>1028</v>
      </c>
      <c r="F5" s="72" t="n">
        <v>1028</v>
      </c>
      <c r="G5" s="72" t="n">
        <v>1015</v>
      </c>
      <c r="H5" s="72" t="n">
        <v>1015</v>
      </c>
      <c r="I5" s="35" t="inlineStr">
        <is>
          <t>Beds Occupied</t>
        </is>
      </c>
      <c r="J5" s="7" t="n">
        <v>1038</v>
      </c>
      <c r="K5" s="7" t="n">
        <v>957</v>
      </c>
      <c r="L5" s="7" t="n">
        <v>957</v>
      </c>
    </row>
    <row r="6" ht="16.5" customHeight="1">
      <c r="A6" s="8" t="n">
        <v>0.9303333333333333</v>
      </c>
      <c r="B6" s="8" t="n">
        <v>0.9303333333333333</v>
      </c>
      <c r="C6" s="8" t="n">
        <v>0.967</v>
      </c>
      <c r="D6" s="8" t="n">
        <v>0.967</v>
      </c>
      <c r="E6" s="73" t="n">
        <v>1.028</v>
      </c>
      <c r="F6" s="73" t="n">
        <v>1.028</v>
      </c>
      <c r="G6" s="73" t="n">
        <v>1.0154</v>
      </c>
      <c r="H6" s="73" t="n">
        <v>1.0154</v>
      </c>
      <c r="I6" s="37" t="inlineStr">
        <is>
          <t>Occupancy %</t>
        </is>
      </c>
      <c r="J6" s="8" t="n">
        <v>1.038</v>
      </c>
      <c r="K6" s="8" t="n">
        <v>0.9570000000000001</v>
      </c>
      <c r="L6" s="8" t="n">
        <v>0.9570000000000001</v>
      </c>
    </row>
    <row r="7" ht="15.75" customHeight="1">
      <c r="A7" s="9" t="n"/>
      <c r="B7" s="9" t="n"/>
      <c r="C7" s="9" t="n"/>
      <c r="D7" s="9" t="n"/>
      <c r="E7" s="74" t="n"/>
      <c r="F7" s="74" t="n"/>
      <c r="G7" s="74" t="n"/>
      <c r="H7" s="74" t="n"/>
      <c r="I7" s="38" t="n"/>
      <c r="J7" s="9" t="n"/>
      <c r="K7" s="9" t="n"/>
      <c r="L7" s="9" t="n"/>
    </row>
    <row r="8" ht="16.5" customHeight="1">
      <c r="A8" s="9" t="n"/>
      <c r="B8" s="9" t="n"/>
      <c r="C8" s="9" t="n"/>
      <c r="D8" s="9" t="n"/>
      <c r="E8" s="75" t="n"/>
      <c r="F8" s="75" t="n"/>
      <c r="G8" s="75" t="n"/>
      <c r="H8" s="75" t="n"/>
      <c r="I8" s="39" t="inlineStr">
        <is>
          <t>Volumes</t>
        </is>
      </c>
      <c r="J8" s="9" t="n"/>
      <c r="K8" s="9" t="n"/>
      <c r="L8" s="9" t="n"/>
    </row>
    <row r="9" ht="15.75" customHeight="1">
      <c r="A9" s="10" t="n">
        <v>345.4</v>
      </c>
      <c r="B9" s="10" t="n">
        <v>10362</v>
      </c>
      <c r="C9" s="10" t="n">
        <v>356.483870967742</v>
      </c>
      <c r="D9" s="10" t="n">
        <v>11051</v>
      </c>
      <c r="E9" s="76" t="n">
        <v>383</v>
      </c>
      <c r="F9" s="76" t="n">
        <v>383</v>
      </c>
      <c r="G9" s="76" t="n">
        <v>432</v>
      </c>
      <c r="H9" s="76" t="n">
        <v>4322</v>
      </c>
      <c r="I9" s="40" t="inlineStr">
        <is>
          <t>OP New Registration</t>
        </is>
      </c>
      <c r="J9" s="10" t="n">
        <v>426</v>
      </c>
      <c r="K9" s="10" t="n">
        <v>280</v>
      </c>
      <c r="L9" s="10" t="n">
        <v>8674</v>
      </c>
    </row>
    <row r="10" ht="15.75" customHeight="1">
      <c r="A10" s="10" t="n">
        <v>3003.366666666667</v>
      </c>
      <c r="B10" s="10" t="n">
        <v>90101</v>
      </c>
      <c r="C10" s="10" t="n">
        <v>3099.806451612903</v>
      </c>
      <c r="D10" s="10" t="n">
        <v>96094</v>
      </c>
      <c r="E10" s="76" t="n">
        <v>3744</v>
      </c>
      <c r="F10" s="76" t="n">
        <v>3744</v>
      </c>
      <c r="G10" s="76" t="n">
        <v>3722</v>
      </c>
      <c r="H10" s="76" t="n">
        <v>37218</v>
      </c>
      <c r="I10" s="40" t="inlineStr">
        <is>
          <t>OP Encounters</t>
        </is>
      </c>
      <c r="J10" s="10" t="n">
        <v>4045</v>
      </c>
      <c r="K10" s="10" t="n">
        <v>2317</v>
      </c>
      <c r="L10" s="10" t="n">
        <v>71839</v>
      </c>
    </row>
    <row r="11" ht="15.75" customHeight="1">
      <c r="A11" s="10" t="n">
        <v>260.2666666666667</v>
      </c>
      <c r="B11" s="10" t="n">
        <v>7808</v>
      </c>
      <c r="C11" s="10" t="n">
        <v>260.516129032258</v>
      </c>
      <c r="D11" s="10" t="n">
        <v>8076</v>
      </c>
      <c r="E11" s="76" t="n">
        <v>299</v>
      </c>
      <c r="F11" s="76" t="n">
        <v>299</v>
      </c>
      <c r="G11" s="76" t="n">
        <v>176</v>
      </c>
      <c r="H11" s="76" t="n">
        <v>1761</v>
      </c>
      <c r="I11" s="40" t="inlineStr">
        <is>
          <t>IP Admission</t>
        </is>
      </c>
      <c r="J11" s="10" t="n">
        <v>190</v>
      </c>
      <c r="K11" s="10" t="n">
        <v>131</v>
      </c>
      <c r="L11" s="10" t="n">
        <v>4055</v>
      </c>
    </row>
    <row r="12" ht="15.75" customHeight="1">
      <c r="A12" s="11" t="n">
        <v>200.7666666666667</v>
      </c>
      <c r="B12" s="11" t="n">
        <v>6023</v>
      </c>
      <c r="C12" s="11" t="n">
        <v>194.4516129032258</v>
      </c>
      <c r="D12" s="11" t="n">
        <v>6028</v>
      </c>
      <c r="E12" s="77" t="n">
        <v>227</v>
      </c>
      <c r="F12" s="77" t="n">
        <v>227</v>
      </c>
      <c r="G12" s="77" t="n">
        <v>99</v>
      </c>
      <c r="H12" s="77" t="n">
        <v>993</v>
      </c>
      <c r="I12" s="41" t="inlineStr">
        <is>
          <t xml:space="preserve">               General</t>
        </is>
      </c>
      <c r="J12" s="11" t="n">
        <v>104</v>
      </c>
      <c r="K12" s="11" t="n">
        <v>77</v>
      </c>
      <c r="L12" s="11" t="n">
        <v>2381</v>
      </c>
    </row>
    <row r="13" ht="15.75" customHeight="1">
      <c r="A13" s="11" t="n">
        <v>30.2</v>
      </c>
      <c r="B13" s="11" t="n">
        <v>906</v>
      </c>
      <c r="C13" s="11" t="n">
        <v>35.58064516129032</v>
      </c>
      <c r="D13" s="11" t="n">
        <v>1103</v>
      </c>
      <c r="E13" s="77" t="n">
        <v>39</v>
      </c>
      <c r="F13" s="77" t="n">
        <v>39</v>
      </c>
      <c r="G13" s="77" t="n">
        <v>38</v>
      </c>
      <c r="H13" s="77" t="n">
        <v>377</v>
      </c>
      <c r="I13" s="41" t="inlineStr">
        <is>
          <t xml:space="preserve">               TPA</t>
        </is>
      </c>
      <c r="J13" s="11" t="n">
        <v>40</v>
      </c>
      <c r="K13" s="11" t="n">
        <v>25</v>
      </c>
      <c r="L13" s="11" t="n">
        <v>787</v>
      </c>
    </row>
    <row r="14" ht="15.75" customHeight="1">
      <c r="A14" s="11" t="n">
        <v>25.86666666666667</v>
      </c>
      <c r="B14" s="11" t="n">
        <v>776</v>
      </c>
      <c r="C14" s="11" t="n">
        <v>27</v>
      </c>
      <c r="D14" s="11" t="n">
        <v>837</v>
      </c>
      <c r="E14" s="77" t="n">
        <v>31</v>
      </c>
      <c r="F14" s="77" t="n">
        <v>31</v>
      </c>
      <c r="G14" s="77" t="n">
        <v>33</v>
      </c>
      <c r="H14" s="77" t="n">
        <v>334</v>
      </c>
      <c r="I14" s="41" t="inlineStr">
        <is>
          <t xml:space="preserve">               ECHS/ESI /INHS/ISRO/CIAL</t>
        </is>
      </c>
      <c r="J14" s="11" t="n">
        <v>40</v>
      </c>
      <c r="K14" s="11" t="n">
        <v>23</v>
      </c>
      <c r="L14" s="11" t="n">
        <v>725</v>
      </c>
    </row>
    <row r="15" ht="15.75" customHeight="1">
      <c r="A15" s="11" t="n">
        <v>0.7666666666666667</v>
      </c>
      <c r="B15" s="11" t="n">
        <v>23</v>
      </c>
      <c r="C15" s="11" t="n">
        <v>0.8387096774193549</v>
      </c>
      <c r="D15" s="11" t="n">
        <v>26</v>
      </c>
      <c r="E15" s="77" t="n">
        <v>0</v>
      </c>
      <c r="F15" s="77" t="n">
        <v>0</v>
      </c>
      <c r="G15" s="77" t="n">
        <v>0</v>
      </c>
      <c r="H15" s="77" t="n">
        <v>2</v>
      </c>
      <c r="I15" s="41" t="inlineStr">
        <is>
          <t xml:space="preserve">               P.Card.Fund</t>
        </is>
      </c>
      <c r="J15" s="11" t="n">
        <v>0</v>
      </c>
      <c r="K15" s="11" t="n">
        <v>0</v>
      </c>
      <c r="L15" s="11" t="n">
        <v>6</v>
      </c>
    </row>
    <row r="16" ht="15.75" customHeight="1">
      <c r="A16" s="11" t="n">
        <v>2.666666666666667</v>
      </c>
      <c r="B16" s="11" t="n">
        <v>80</v>
      </c>
      <c r="C16" s="11" t="n">
        <v>2.645161290322581</v>
      </c>
      <c r="D16" s="11" t="n">
        <v>82</v>
      </c>
      <c r="E16" s="77" t="n">
        <v>2</v>
      </c>
      <c r="F16" s="77" t="n">
        <v>2</v>
      </c>
      <c r="G16" s="77" t="n">
        <v>6</v>
      </c>
      <c r="H16" s="77" t="n">
        <v>55</v>
      </c>
      <c r="I16" s="41" t="inlineStr">
        <is>
          <t xml:space="preserve">              Corporates</t>
        </is>
      </c>
      <c r="J16" s="11" t="n">
        <v>6</v>
      </c>
      <c r="K16" s="11" t="n">
        <v>5</v>
      </c>
      <c r="L16" s="11" t="n">
        <v>155</v>
      </c>
    </row>
    <row r="17" ht="15.75" customHeight="1">
      <c r="A17" s="11" t="n"/>
      <c r="B17" s="11" t="n"/>
      <c r="C17" s="11" t="n"/>
      <c r="D17" s="11" t="n"/>
      <c r="E17" s="78" t="n"/>
      <c r="F17" s="78" t="n"/>
      <c r="G17" s="78" t="n"/>
      <c r="H17" s="78" t="n"/>
      <c r="I17" s="12" t="n"/>
      <c r="J17" s="11" t="n"/>
      <c r="K17" s="11" t="n"/>
      <c r="L17" s="11" t="n"/>
    </row>
    <row r="18" ht="15.75" customHeight="1">
      <c r="A18" s="11" t="n">
        <v>44.36666666666667</v>
      </c>
      <c r="B18" s="11" t="n">
        <v>1331</v>
      </c>
      <c r="C18" s="11" t="n">
        <v>44.58064516129032</v>
      </c>
      <c r="D18" s="11" t="n">
        <v>1382</v>
      </c>
      <c r="E18" s="78" t="n">
        <v>52</v>
      </c>
      <c r="F18" s="78" t="n">
        <v>52</v>
      </c>
      <c r="G18" s="78" t="n">
        <v>52</v>
      </c>
      <c r="H18" s="78" t="n">
        <v>519</v>
      </c>
      <c r="I18" s="12" t="inlineStr">
        <is>
          <t>Emergency Admission</t>
        </is>
      </c>
      <c r="J18" s="11" t="n">
        <v>57</v>
      </c>
      <c r="K18" s="11" t="n">
        <v>46</v>
      </c>
      <c r="L18" s="11" t="n">
        <v>1432</v>
      </c>
    </row>
    <row r="19" ht="15.75" customHeight="1">
      <c r="A19" s="11" t="n">
        <v>74.7</v>
      </c>
      <c r="B19" s="11" t="n">
        <v>2241</v>
      </c>
      <c r="C19" s="11" t="n">
        <v>80.06451612903226</v>
      </c>
      <c r="D19" s="11" t="n">
        <v>2482</v>
      </c>
      <c r="E19" s="78" t="n">
        <v>79</v>
      </c>
      <c r="F19" s="78" t="n">
        <v>79</v>
      </c>
      <c r="G19" s="78" t="n">
        <v>82</v>
      </c>
      <c r="H19" s="78" t="n">
        <v>817</v>
      </c>
      <c r="I19" s="12" t="inlineStr">
        <is>
          <t>Planned
Admission</t>
        </is>
      </c>
      <c r="J19" s="11" t="n">
        <v>79</v>
      </c>
      <c r="K19" s="11" t="n">
        <v>51</v>
      </c>
      <c r="L19" s="11" t="n">
        <v>1581</v>
      </c>
    </row>
    <row r="20" ht="15.75" customHeight="1">
      <c r="A20" s="11" t="n">
        <v>129.3666666666667</v>
      </c>
      <c r="B20" s="11" t="n">
        <v>3881</v>
      </c>
      <c r="C20" s="11" t="n">
        <v>124.6774193548387</v>
      </c>
      <c r="D20" s="11" t="n">
        <v>3865</v>
      </c>
      <c r="E20" s="78" t="n">
        <v>158</v>
      </c>
      <c r="F20" s="78" t="n">
        <v>158</v>
      </c>
      <c r="G20" s="78" t="n">
        <v>149</v>
      </c>
      <c r="H20" s="78" t="n">
        <v>1490</v>
      </c>
      <c r="I20" s="12" t="inlineStr">
        <is>
          <t>Admission from OP 
(walk-in)</t>
        </is>
      </c>
      <c r="J20" s="11" t="n">
        <v>181</v>
      </c>
      <c r="K20" s="11" t="n">
        <v>100</v>
      </c>
      <c r="L20" s="11" t="n">
        <v>3100</v>
      </c>
    </row>
    <row r="21" ht="15.75" customHeight="1">
      <c r="A21" s="11" t="n"/>
      <c r="B21" s="11" t="n"/>
      <c r="C21" s="11" t="n"/>
      <c r="D21" s="11" t="n"/>
      <c r="E21" s="78" t="n"/>
      <c r="F21" s="78" t="n"/>
      <c r="G21" s="78" t="n"/>
      <c r="H21" s="78" t="n"/>
      <c r="I21" s="12" t="n"/>
      <c r="J21" s="11" t="n"/>
      <c r="K21" s="11" t="n"/>
      <c r="L21" s="11" t="n"/>
    </row>
    <row r="22" ht="15.75" customHeight="1">
      <c r="A22" s="10" t="n">
        <v>262.5</v>
      </c>
      <c r="B22" s="10" t="n">
        <v>7875</v>
      </c>
      <c r="C22" s="10" t="n">
        <v>261.0322580645162</v>
      </c>
      <c r="D22" s="10" t="n">
        <v>8092</v>
      </c>
      <c r="E22" s="76" t="n">
        <v>308</v>
      </c>
      <c r="F22" s="76" t="n">
        <v>308</v>
      </c>
      <c r="G22" s="76" t="n">
        <v>174</v>
      </c>
      <c r="H22" s="76" t="n">
        <v>1743</v>
      </c>
      <c r="I22" s="40" t="inlineStr">
        <is>
          <t>IP Discharges</t>
        </is>
      </c>
      <c r="J22" s="10" t="n">
        <v>215</v>
      </c>
      <c r="K22" s="10" t="n">
        <v>152</v>
      </c>
      <c r="L22" s="10" t="n">
        <v>4706</v>
      </c>
    </row>
    <row r="23" ht="15.75" customHeight="1">
      <c r="A23" s="11" t="n">
        <v>193.6</v>
      </c>
      <c r="B23" s="11" t="n">
        <v>5808</v>
      </c>
      <c r="C23" s="11" t="n">
        <v>189.6451612903226</v>
      </c>
      <c r="D23" s="11" t="n">
        <v>5879</v>
      </c>
      <c r="E23" s="79" t="n">
        <v>229</v>
      </c>
      <c r="F23" s="79" t="n">
        <v>229</v>
      </c>
      <c r="G23" s="79" t="n">
        <v>94</v>
      </c>
      <c r="H23" s="79" t="n">
        <v>944</v>
      </c>
      <c r="I23" s="42" t="inlineStr">
        <is>
          <t xml:space="preserve">               General</t>
        </is>
      </c>
      <c r="J23" s="11" t="n">
        <v>132</v>
      </c>
      <c r="K23" s="11" t="n">
        <v>91</v>
      </c>
      <c r="L23" s="11" t="n">
        <v>2821</v>
      </c>
    </row>
    <row r="24" ht="15.75" customHeight="1">
      <c r="A24" s="11" t="n">
        <v>38.43333333333333</v>
      </c>
      <c r="B24" s="11" t="n">
        <v>1153</v>
      </c>
      <c r="C24" s="11" t="n">
        <v>39.90322580645162</v>
      </c>
      <c r="D24" s="11" t="n">
        <v>1237</v>
      </c>
      <c r="E24" s="79" t="n">
        <v>41</v>
      </c>
      <c r="F24" s="79" t="n">
        <v>41</v>
      </c>
      <c r="G24" s="79" t="n">
        <v>41</v>
      </c>
      <c r="H24" s="79" t="n">
        <v>408</v>
      </c>
      <c r="I24" s="42" t="inlineStr">
        <is>
          <t xml:space="preserve">               TPA</t>
        </is>
      </c>
      <c r="J24" s="11" t="n">
        <v>34</v>
      </c>
      <c r="K24" s="11" t="n">
        <v>31</v>
      </c>
      <c r="L24" s="11" t="n">
        <v>949</v>
      </c>
    </row>
    <row r="25" ht="15.75" customHeight="1">
      <c r="A25" s="11" t="n">
        <v>26.8</v>
      </c>
      <c r="B25" s="11" t="n">
        <v>804</v>
      </c>
      <c r="C25" s="11" t="n">
        <v>27.16129032258064</v>
      </c>
      <c r="D25" s="11" t="n">
        <v>842</v>
      </c>
      <c r="E25" s="79" t="n">
        <v>37</v>
      </c>
      <c r="F25" s="79" t="n">
        <v>37</v>
      </c>
      <c r="G25" s="79" t="n">
        <v>36</v>
      </c>
      <c r="H25" s="79" t="n">
        <v>356</v>
      </c>
      <c r="I25" s="42" t="inlineStr">
        <is>
          <t xml:space="preserve">               ECHS/ESI /INHS/ISRO/CIAL</t>
        </is>
      </c>
      <c r="J25" s="11" t="n">
        <v>42</v>
      </c>
      <c r="K25" s="11" t="n">
        <v>26</v>
      </c>
      <c r="L25" s="11" t="n">
        <v>800</v>
      </c>
    </row>
    <row r="26" ht="15.75" customHeight="1">
      <c r="A26" s="11" t="n">
        <v>0.8666666666666667</v>
      </c>
      <c r="B26" s="11" t="n">
        <v>26</v>
      </c>
      <c r="C26" s="11" t="n">
        <v>0.6774193548387096</v>
      </c>
      <c r="D26" s="11" t="n">
        <v>21</v>
      </c>
      <c r="E26" s="79" t="n">
        <v>0</v>
      </c>
      <c r="F26" s="79" t="n">
        <v>0</v>
      </c>
      <c r="G26" s="79" t="n">
        <v>0</v>
      </c>
      <c r="H26" s="79" t="n">
        <v>1</v>
      </c>
      <c r="I26" s="42" t="inlineStr">
        <is>
          <t xml:space="preserve">               P.Card.Fund</t>
        </is>
      </c>
      <c r="J26" s="11" t="n">
        <v>0</v>
      </c>
      <c r="K26" s="11" t="n">
        <v>0</v>
      </c>
      <c r="L26" s="11" t="n">
        <v>0</v>
      </c>
    </row>
    <row r="27" ht="15.75" customHeight="1">
      <c r="A27" s="13" t="n">
        <v>2.8</v>
      </c>
      <c r="B27" s="13" t="n">
        <v>84</v>
      </c>
      <c r="C27" s="13" t="n">
        <v>3.645161290322581</v>
      </c>
      <c r="D27" s="13" t="n">
        <v>113</v>
      </c>
      <c r="E27" s="80" t="n">
        <v>1</v>
      </c>
      <c r="F27" s="80" t="n">
        <v>1</v>
      </c>
      <c r="G27" s="80" t="n">
        <v>3</v>
      </c>
      <c r="H27" s="80" t="n">
        <v>34</v>
      </c>
      <c r="I27" s="43" t="inlineStr">
        <is>
          <t xml:space="preserve">               Corporates </t>
        </is>
      </c>
      <c r="J27" s="13" t="n">
        <v>7</v>
      </c>
      <c r="K27" s="13" t="n">
        <v>4</v>
      </c>
      <c r="L27" s="13" t="n">
        <v>136</v>
      </c>
    </row>
    <row r="28" ht="15.75" customHeight="1">
      <c r="A28" s="11" t="n"/>
      <c r="B28" s="11" t="n"/>
      <c r="C28" s="11" t="n"/>
      <c r="D28" s="11" t="n"/>
      <c r="E28" s="78" t="n"/>
      <c r="F28" s="78" t="n"/>
      <c r="G28" s="78" t="n"/>
      <c r="H28" s="78" t="n"/>
      <c r="I28" s="12" t="n"/>
      <c r="J28" s="11" t="n"/>
      <c r="K28" s="11" t="n"/>
      <c r="L28" s="11" t="n"/>
    </row>
    <row r="29" ht="15.75" customHeight="1">
      <c r="A29" s="11" t="n">
        <v>22.03333333333333</v>
      </c>
      <c r="B29" s="11" t="n">
        <v>661</v>
      </c>
      <c r="C29" s="11" t="n">
        <v>21.25806451612903</v>
      </c>
      <c r="D29" s="11" t="n">
        <v>659</v>
      </c>
      <c r="E29" s="78" t="n">
        <v>14</v>
      </c>
      <c r="F29" s="78" t="n">
        <v>14</v>
      </c>
      <c r="G29" s="78" t="n">
        <v>24</v>
      </c>
      <c r="H29" s="78" t="n">
        <v>241</v>
      </c>
      <c r="I29" s="12" t="inlineStr">
        <is>
          <t>Long Stay Patients</t>
        </is>
      </c>
      <c r="J29" s="11" t="n">
        <v>33</v>
      </c>
      <c r="K29" s="11" t="n">
        <v>24</v>
      </c>
      <c r="L29" s="11" t="n">
        <v>744</v>
      </c>
    </row>
    <row r="30" ht="15.75" customHeight="1">
      <c r="A30" s="11" t="n"/>
      <c r="B30" s="11" t="n"/>
      <c r="C30" s="11" t="n"/>
      <c r="D30" s="11" t="n"/>
      <c r="E30" s="78" t="n"/>
      <c r="F30" s="78" t="n"/>
      <c r="G30" s="78" t="n"/>
      <c r="H30" s="78" t="n"/>
      <c r="I30" s="12" t="n"/>
      <c r="J30" s="11" t="n"/>
      <c r="K30" s="11" t="n"/>
      <c r="L30" s="11" t="n"/>
    </row>
    <row r="31" ht="16.5" customHeight="1">
      <c r="A31" s="10" t="n"/>
      <c r="B31" s="10" t="n"/>
      <c r="C31" s="10" t="n"/>
      <c r="D31" s="10" t="n"/>
      <c r="E31" s="81" t="n"/>
      <c r="F31" s="81" t="n"/>
      <c r="G31" s="81" t="n"/>
      <c r="H31" s="81" t="n"/>
      <c r="I31" s="44" t="inlineStr">
        <is>
          <t>Billing (INR)</t>
        </is>
      </c>
      <c r="J31" s="10" t="n"/>
      <c r="K31" s="10" t="n"/>
      <c r="L31" s="10" t="n"/>
    </row>
    <row r="32" ht="15.75" customHeight="1">
      <c r="A32" s="10" t="n">
        <v>7779345.069666668</v>
      </c>
      <c r="B32" s="10" t="n">
        <v>233380352.09</v>
      </c>
      <c r="C32" s="10" t="n">
        <v>7946354.107741935</v>
      </c>
      <c r="D32" s="10" t="n">
        <v>246336977.34</v>
      </c>
      <c r="E32" s="72" t="n">
        <v>9848246</v>
      </c>
      <c r="F32" s="72" t="n">
        <v>9848246</v>
      </c>
      <c r="G32" s="72" t="n">
        <v>9785738</v>
      </c>
      <c r="H32" s="72" t="n">
        <v>97857376</v>
      </c>
      <c r="I32" s="35" t="inlineStr">
        <is>
          <t>OP</t>
        </is>
      </c>
      <c r="J32" s="10" t="n">
        <v>11050189</v>
      </c>
      <c r="K32" s="10" t="n">
        <v>6055826</v>
      </c>
      <c r="L32" s="10" t="n">
        <v>187730619</v>
      </c>
    </row>
    <row r="33" ht="15.75" customHeight="1">
      <c r="A33" s="10" t="n">
        <v>18815569.686</v>
      </c>
      <c r="B33" s="10" t="n">
        <v>564467090.5799999</v>
      </c>
      <c r="C33" s="10" t="n">
        <v>18455359.69548387</v>
      </c>
      <c r="D33" s="10" t="n">
        <v>572116150.5599999</v>
      </c>
      <c r="E33" s="72" t="n">
        <v>17593027</v>
      </c>
      <c r="F33" s="72" t="n">
        <v>17593027</v>
      </c>
      <c r="G33" s="72" t="n">
        <v>22310634</v>
      </c>
      <c r="H33" s="72" t="n">
        <v>223106336</v>
      </c>
      <c r="I33" s="35" t="inlineStr">
        <is>
          <t>IP</t>
        </is>
      </c>
      <c r="J33" s="10" t="n">
        <v>20374810</v>
      </c>
      <c r="K33" s="10" t="n">
        <v>19298546</v>
      </c>
      <c r="L33" s="10" t="n">
        <v>598254913</v>
      </c>
    </row>
    <row r="34" ht="16.5" customHeight="1">
      <c r="A34" s="14" t="n">
        <v>26594914.75566667</v>
      </c>
      <c r="B34" s="14" t="n">
        <v>797847442.67</v>
      </c>
      <c r="C34" s="14" t="n">
        <v>26401713.80322581</v>
      </c>
      <c r="D34" s="14" t="n">
        <v>818453127.9</v>
      </c>
      <c r="E34" s="82" t="n">
        <v>27441273</v>
      </c>
      <c r="F34" s="82" t="n">
        <v>27441273</v>
      </c>
      <c r="G34" s="82" t="n">
        <v>32096371</v>
      </c>
      <c r="H34" s="82" t="n">
        <v>320963712</v>
      </c>
      <c r="I34" s="45" t="inlineStr">
        <is>
          <t>Total Billing</t>
        </is>
      </c>
      <c r="J34" s="14" t="n">
        <v>31424998</v>
      </c>
      <c r="K34" s="14" t="n">
        <v>25354372</v>
      </c>
      <c r="L34" s="14" t="n">
        <v>785985531</v>
      </c>
    </row>
    <row r="35" ht="15.75" customHeight="1">
      <c r="A35" s="11" t="n"/>
      <c r="B35" s="11" t="n"/>
      <c r="C35" s="11" t="n"/>
      <c r="D35" s="11" t="n"/>
      <c r="E35" s="83" t="n"/>
      <c r="F35" s="83" t="n"/>
      <c r="G35" s="83" t="n"/>
      <c r="H35" s="83" t="n"/>
      <c r="I35" s="46" t="n"/>
      <c r="J35" s="11" t="n"/>
      <c r="K35" s="11" t="n"/>
      <c r="L35" s="11" t="n"/>
    </row>
    <row r="36" ht="16.5" customHeight="1">
      <c r="A36" s="11" t="n"/>
      <c r="B36" s="11" t="n"/>
      <c r="C36" s="11" t="n"/>
      <c r="D36" s="11" t="n"/>
      <c r="E36" s="81" t="n"/>
      <c r="F36" s="81" t="n"/>
      <c r="G36" s="81" t="n"/>
      <c r="H36" s="81" t="n"/>
      <c r="I36" s="44" t="inlineStr">
        <is>
          <t>Billing (INR)</t>
        </is>
      </c>
      <c r="J36" s="11" t="n"/>
      <c r="K36" s="11" t="n"/>
      <c r="L36" s="11" t="n"/>
    </row>
    <row r="37" ht="15.75" customHeight="1">
      <c r="A37" s="11" t="n">
        <v>25148845.672</v>
      </c>
      <c r="B37" s="11" t="n">
        <v>754465370.1600001</v>
      </c>
      <c r="C37" s="11" t="n">
        <v>24937813.34709677</v>
      </c>
      <c r="D37" s="11" t="n">
        <v>773072213.76</v>
      </c>
      <c r="E37" s="77" t="n">
        <v>25991715</v>
      </c>
      <c r="F37" s="77" t="n">
        <v>25991715</v>
      </c>
      <c r="G37" s="77" t="n">
        <v>30286800</v>
      </c>
      <c r="H37" s="77" t="n">
        <v>302868000</v>
      </c>
      <c r="I37" s="41" t="inlineStr">
        <is>
          <t>Domestic</t>
        </is>
      </c>
      <c r="J37" s="11" t="n">
        <v>29318263</v>
      </c>
      <c r="K37" s="11" t="n">
        <v>24579194</v>
      </c>
      <c r="L37" s="11" t="n">
        <v>761955004</v>
      </c>
    </row>
    <row r="38" ht="15.75" customHeight="1">
      <c r="A38" s="11" t="n">
        <v>1446069.084333333</v>
      </c>
      <c r="B38" s="11" t="n">
        <v>43382072.52999999</v>
      </c>
      <c r="C38" s="11" t="n">
        <v>1463900.456451613</v>
      </c>
      <c r="D38" s="11" t="n">
        <v>45380914.15</v>
      </c>
      <c r="E38" s="77" t="n">
        <v>1449557</v>
      </c>
      <c r="F38" s="77" t="n">
        <v>1449557</v>
      </c>
      <c r="G38" s="77" t="n">
        <v>1793391</v>
      </c>
      <c r="H38" s="77" t="n">
        <v>17933912</v>
      </c>
      <c r="I38" s="41" t="inlineStr">
        <is>
          <t>International</t>
        </is>
      </c>
      <c r="J38" s="11" t="n">
        <v>2048075</v>
      </c>
      <c r="K38" s="11" t="n">
        <v>746002</v>
      </c>
      <c r="L38" s="11" t="n">
        <v>23126071</v>
      </c>
    </row>
    <row r="39" ht="16.5" customHeight="1">
      <c r="A39" s="14" t="n">
        <v>26594914.75633334</v>
      </c>
      <c r="B39" s="14" t="n">
        <v>797847442.6900001</v>
      </c>
      <c r="C39" s="14" t="n">
        <v>26401713.80354838</v>
      </c>
      <c r="D39" s="14" t="n">
        <v>818453127.91</v>
      </c>
      <c r="E39" s="82" t="n">
        <v>27441273</v>
      </c>
      <c r="F39" s="82" t="n">
        <v>27441273</v>
      </c>
      <c r="G39" s="82" t="n">
        <v>32080191</v>
      </c>
      <c r="H39" s="82" t="n">
        <v>320801912</v>
      </c>
      <c r="I39" s="45" t="inlineStr">
        <is>
          <t>Total Billing</t>
        </is>
      </c>
      <c r="J39" s="14" t="n">
        <v>31366338</v>
      </c>
      <c r="K39" s="14" t="n">
        <v>25325196</v>
      </c>
      <c r="L39" s="14" t="n">
        <v>785081075</v>
      </c>
    </row>
    <row r="40" ht="15.75" customHeight="1">
      <c r="A40" s="11" t="n"/>
      <c r="B40" s="11" t="n"/>
      <c r="C40" s="11" t="n"/>
      <c r="D40" s="11" t="n"/>
      <c r="E40" s="83" t="n"/>
      <c r="F40" s="83" t="n"/>
      <c r="G40" s="83" t="n"/>
      <c r="H40" s="83" t="n"/>
      <c r="I40" s="46" t="n"/>
      <c r="J40" s="11" t="n"/>
      <c r="K40" s="11" t="n"/>
      <c r="L40" s="11" t="n"/>
    </row>
    <row r="41" ht="16.5" customHeight="1">
      <c r="A41" s="11" t="n"/>
      <c r="B41" s="11" t="n"/>
      <c r="C41" s="11" t="n"/>
      <c r="D41" s="11" t="n"/>
      <c r="E41" s="81" t="n"/>
      <c r="F41" s="81" t="n"/>
      <c r="G41" s="81" t="n"/>
      <c r="H41" s="81" t="n"/>
      <c r="I41" s="44" t="inlineStr">
        <is>
          <t>Billing (INR)</t>
        </is>
      </c>
      <c r="J41" s="11" t="n"/>
      <c r="K41" s="11" t="n"/>
      <c r="L41" s="11" t="n"/>
    </row>
    <row r="42" ht="16.5" customHeight="1">
      <c r="A42" s="11" t="n"/>
      <c r="B42" s="11" t="n"/>
      <c r="C42" s="11" t="n"/>
      <c r="D42" s="11" t="n"/>
      <c r="E42" s="81" t="n"/>
      <c r="F42" s="81" t="n"/>
      <c r="G42" s="81" t="n"/>
      <c r="H42" s="81" t="n"/>
      <c r="I42" s="44" t="n"/>
      <c r="J42" s="11" t="n"/>
      <c r="K42" s="11" t="n"/>
      <c r="L42" s="11" t="n"/>
    </row>
    <row r="43" ht="18" customHeight="1">
      <c r="A43" s="10" t="n"/>
      <c r="B43" s="10" t="n"/>
      <c r="C43" s="10" t="n"/>
      <c r="D43" s="10" t="n"/>
      <c r="E43" s="84" t="n"/>
      <c r="F43" s="84" t="n"/>
      <c r="G43" s="84" t="n"/>
      <c r="H43" s="84" t="n"/>
      <c r="I43" s="47" t="inlineStr">
        <is>
          <t>Cash (IP &amp; OP)</t>
        </is>
      </c>
      <c r="J43" s="10" t="n"/>
      <c r="K43" s="10" t="n"/>
      <c r="L43" s="10" t="n"/>
    </row>
    <row r="44" ht="15.75" customHeight="1">
      <c r="A44" s="10" t="n">
        <v>15356913.085</v>
      </c>
      <c r="B44" s="10" t="n">
        <v>460707392.5500001</v>
      </c>
      <c r="C44" s="10" t="n">
        <v>14745637.77129032</v>
      </c>
      <c r="D44" s="10" t="n">
        <v>457114770.91</v>
      </c>
      <c r="E44" s="72" t="n">
        <v>17045925</v>
      </c>
      <c r="F44" s="72" t="n">
        <v>17045925</v>
      </c>
      <c r="G44" s="72" t="n">
        <v>17968962</v>
      </c>
      <c r="H44" s="72" t="n">
        <v>179689623</v>
      </c>
      <c r="I44" s="35" t="inlineStr">
        <is>
          <t>Domestic</t>
        </is>
      </c>
      <c r="J44" s="10" t="n">
        <v>17228060</v>
      </c>
      <c r="K44" s="10" t="n">
        <v>13939073</v>
      </c>
      <c r="L44" s="10" t="n">
        <v>432111263</v>
      </c>
    </row>
    <row r="45" ht="15.75" customHeight="1">
      <c r="A45" s="10" t="n">
        <v>312972.7309999999</v>
      </c>
      <c r="B45" s="10" t="n">
        <v>9389181.929999998</v>
      </c>
      <c r="C45" s="10" t="n">
        <v>479109.6287096774</v>
      </c>
      <c r="D45" s="10" t="n">
        <v>14852398.49</v>
      </c>
      <c r="E45" s="72" t="n">
        <v>168620</v>
      </c>
      <c r="F45" s="72" t="n">
        <v>168620</v>
      </c>
      <c r="G45" s="72" t="n">
        <v>860124</v>
      </c>
      <c r="H45" s="72" t="n">
        <v>8601236</v>
      </c>
      <c r="I45" s="35" t="inlineStr">
        <is>
          <t>International</t>
        </is>
      </c>
      <c r="J45" s="10" t="n">
        <v>1853764</v>
      </c>
      <c r="K45" s="10" t="n">
        <v>436532</v>
      </c>
      <c r="L45" s="10" t="n">
        <v>13532501</v>
      </c>
    </row>
    <row r="46" ht="15.75" customHeight="1">
      <c r="A46" s="10" t="n"/>
      <c r="B46" s="10" t="n"/>
      <c r="C46" s="10" t="n"/>
      <c r="D46" s="10" t="n"/>
      <c r="E46" s="77" t="n"/>
      <c r="F46" s="77" t="n"/>
      <c r="G46" s="77" t="n"/>
      <c r="H46" s="77" t="n"/>
      <c r="I46" s="41" t="n"/>
      <c r="J46" s="10" t="n"/>
      <c r="K46" s="10" t="n"/>
      <c r="L46" s="10" t="n"/>
    </row>
    <row r="47" ht="18" customHeight="1">
      <c r="A47" s="10" t="n"/>
      <c r="B47" s="10" t="n"/>
      <c r="C47" s="10" t="n"/>
      <c r="D47" s="10" t="n"/>
      <c r="E47" s="84" t="n"/>
      <c r="F47" s="84" t="n"/>
      <c r="G47" s="84" t="n"/>
      <c r="H47" s="84" t="n"/>
      <c r="I47" s="47" t="inlineStr">
        <is>
          <t>Credit (IP &amp; OP)</t>
        </is>
      </c>
      <c r="J47" s="10" t="n"/>
      <c r="K47" s="10" t="n"/>
      <c r="L47" s="10" t="n"/>
    </row>
    <row r="48" ht="15.75" customHeight="1">
      <c r="A48" s="10" t="n">
        <v>9791932.586999999</v>
      </c>
      <c r="B48" s="10" t="n">
        <v>293757977.61</v>
      </c>
      <c r="C48" s="10" t="n">
        <v>10192175.57580645</v>
      </c>
      <c r="D48" s="10" t="n">
        <v>315957442.85</v>
      </c>
      <c r="E48" s="72" t="n">
        <v>8945790</v>
      </c>
      <c r="F48" s="72" t="n">
        <v>8945790</v>
      </c>
      <c r="G48" s="72" t="n">
        <v>12317838</v>
      </c>
      <c r="H48" s="72" t="n">
        <v>123178376</v>
      </c>
      <c r="I48" s="35" t="inlineStr">
        <is>
          <t>Domestic</t>
        </is>
      </c>
      <c r="J48" s="10" t="n">
        <v>12090204</v>
      </c>
      <c r="K48" s="10" t="n">
        <v>10640121</v>
      </c>
      <c r="L48" s="10" t="n">
        <v>329843741</v>
      </c>
    </row>
    <row r="49" ht="15.75" customHeight="1">
      <c r="A49" s="11" t="n">
        <v>2956538.457333333</v>
      </c>
      <c r="B49" s="11" t="n">
        <v>88696153.71999998</v>
      </c>
      <c r="C49" s="11" t="n">
        <v>2837884.341290323</v>
      </c>
      <c r="D49" s="11" t="n">
        <v>87974414.58</v>
      </c>
      <c r="E49" s="77" t="n">
        <v>3206599</v>
      </c>
      <c r="F49" s="77" t="n">
        <v>3206599</v>
      </c>
      <c r="G49" s="77" t="n">
        <v>4027697</v>
      </c>
      <c r="H49" s="77" t="n">
        <v>40276966</v>
      </c>
      <c r="I49" s="41" t="inlineStr">
        <is>
          <t>ECHS/ESI /INHS/ISRO/CIAL</t>
        </is>
      </c>
      <c r="J49" s="11" t="n">
        <v>4289025</v>
      </c>
      <c r="K49" s="11" t="n">
        <v>3352719</v>
      </c>
      <c r="L49" s="11" t="n">
        <v>103934301</v>
      </c>
    </row>
    <row r="50" ht="15.75" customHeight="1">
      <c r="A50" s="11" t="n">
        <v>114988.737</v>
      </c>
      <c r="B50" s="11" t="n">
        <v>3449662.11</v>
      </c>
      <c r="C50" s="11" t="n">
        <v>115145.895483871</v>
      </c>
      <c r="D50" s="11" t="n">
        <v>3569522.76</v>
      </c>
      <c r="E50" s="77" t="n">
        <v>0</v>
      </c>
      <c r="F50" s="77" t="n">
        <v>0</v>
      </c>
      <c r="G50" s="77" t="n">
        <v>3512</v>
      </c>
      <c r="H50" s="77" t="n">
        <v>35120</v>
      </c>
      <c r="I50" s="41" t="inlineStr">
        <is>
          <t>P.Card.Fund</t>
        </is>
      </c>
      <c r="J50" s="11" t="n">
        <v>0</v>
      </c>
      <c r="K50" s="11" t="n">
        <v>0</v>
      </c>
      <c r="L50" s="11" t="n">
        <v>0</v>
      </c>
    </row>
    <row r="51" ht="15.75" customHeight="1">
      <c r="A51" s="11" t="n">
        <v>5792975.165333333</v>
      </c>
      <c r="B51" s="11" t="n">
        <v>173789254.96</v>
      </c>
      <c r="C51" s="11" t="n">
        <v>6153580.188387095</v>
      </c>
      <c r="D51" s="11" t="n">
        <v>190760985.8399999</v>
      </c>
      <c r="E51" s="77" t="n">
        <v>5424342</v>
      </c>
      <c r="F51" s="77" t="n">
        <v>5424342</v>
      </c>
      <c r="G51" s="77" t="n">
        <v>7294714</v>
      </c>
      <c r="H51" s="77" t="n">
        <v>72947144</v>
      </c>
      <c r="I51" s="41" t="inlineStr">
        <is>
          <t>TPA</t>
        </is>
      </c>
      <c r="J51" s="11" t="n">
        <v>6266709</v>
      </c>
      <c r="K51" s="11" t="n">
        <v>6250038</v>
      </c>
      <c r="L51" s="11" t="n">
        <v>193751184</v>
      </c>
    </row>
    <row r="52" ht="15.75" customHeight="1">
      <c r="A52" s="11" t="n">
        <v>927430.2273333332</v>
      </c>
      <c r="B52" s="11" t="n">
        <v>27822906.82</v>
      </c>
      <c r="C52" s="11" t="n">
        <v>1085565.150645161</v>
      </c>
      <c r="D52" s="11" t="n">
        <v>33652519.66999999</v>
      </c>
      <c r="E52" s="77" t="n">
        <v>314849</v>
      </c>
      <c r="F52" s="77" t="n">
        <v>314849</v>
      </c>
      <c r="G52" s="77" t="n">
        <v>991915</v>
      </c>
      <c r="H52" s="77" t="n">
        <v>9919146</v>
      </c>
      <c r="I52" s="41" t="inlineStr">
        <is>
          <t>Corporates</t>
        </is>
      </c>
      <c r="J52" s="11" t="n">
        <v>1534469</v>
      </c>
      <c r="K52" s="11" t="n">
        <v>1037363</v>
      </c>
      <c r="L52" s="11" t="n">
        <v>32158255</v>
      </c>
    </row>
    <row r="53" ht="15.75" customHeight="1">
      <c r="A53" s="11" t="n"/>
      <c r="B53" s="11" t="n"/>
      <c r="C53" s="11" t="n"/>
      <c r="D53" s="11" t="n"/>
      <c r="E53" s="77" t="n"/>
      <c r="F53" s="77" t="n"/>
      <c r="G53" s="77" t="n"/>
      <c r="H53" s="77" t="n"/>
      <c r="I53" s="41" t="n"/>
      <c r="J53" s="11" t="n"/>
      <c r="K53" s="11" t="n"/>
      <c r="L53" s="11" t="n"/>
    </row>
    <row r="54" ht="15.75" customHeight="1">
      <c r="A54" s="10" t="n">
        <v>1133096.353333333</v>
      </c>
      <c r="B54" s="10" t="n">
        <v>33992890.59999999</v>
      </c>
      <c r="C54" s="10" t="n">
        <v>984790.8277419353</v>
      </c>
      <c r="D54" s="10" t="n">
        <v>30528515.66</v>
      </c>
      <c r="E54" s="72" t="n">
        <v>1280937</v>
      </c>
      <c r="F54" s="72" t="n">
        <v>1280937</v>
      </c>
      <c r="G54" s="72" t="n">
        <v>933268</v>
      </c>
      <c r="H54" s="72" t="n">
        <v>9332676</v>
      </c>
      <c r="I54" s="35" t="inlineStr">
        <is>
          <t>International</t>
        </is>
      </c>
      <c r="J54" s="10" t="n">
        <v>194311</v>
      </c>
      <c r="K54" s="10" t="n">
        <v>309470</v>
      </c>
      <c r="L54" s="10" t="n">
        <v>9593570</v>
      </c>
    </row>
    <row r="55" ht="15.75" customHeight="1">
      <c r="A55" s="11" t="n">
        <v>1041864.030333333</v>
      </c>
      <c r="B55" s="11" t="n">
        <v>31255920.91</v>
      </c>
      <c r="C55" s="11" t="n">
        <v>707343.2467741934</v>
      </c>
      <c r="D55" s="11" t="n">
        <v>21927640.64999999</v>
      </c>
      <c r="E55" s="77" t="n">
        <v>0</v>
      </c>
      <c r="F55" s="77" t="n">
        <v>0</v>
      </c>
      <c r="G55" s="77" t="n">
        <v>787966</v>
      </c>
      <c r="H55" s="77" t="n">
        <v>7879657</v>
      </c>
      <c r="I55" s="41" t="inlineStr">
        <is>
          <t>TPA Aasantha</t>
        </is>
      </c>
      <c r="J55" s="11" t="n">
        <v>194311</v>
      </c>
      <c r="K55" s="11" t="n">
        <v>309470</v>
      </c>
      <c r="L55" s="11" t="n">
        <v>9593570</v>
      </c>
    </row>
    <row r="56" ht="15.75" customHeight="1">
      <c r="A56" s="11" t="n">
        <v>91232.323</v>
      </c>
      <c r="B56" s="11" t="n">
        <v>2736969.69</v>
      </c>
      <c r="C56" s="11" t="n">
        <v>277447.5809677419</v>
      </c>
      <c r="D56" s="11" t="n">
        <v>8600875.01</v>
      </c>
      <c r="E56" s="77" t="n">
        <v>1280937</v>
      </c>
      <c r="F56" s="77" t="n">
        <v>1280937</v>
      </c>
      <c r="G56" s="77" t="n">
        <v>145302</v>
      </c>
      <c r="H56" s="77" t="n">
        <v>1453019</v>
      </c>
      <c r="I56" s="41" t="inlineStr">
        <is>
          <t>Corporates</t>
        </is>
      </c>
      <c r="J56" s="11" t="n">
        <v>0</v>
      </c>
      <c r="K56" s="11" t="n">
        <v>0</v>
      </c>
      <c r="L56" s="11" t="n">
        <v>0</v>
      </c>
    </row>
    <row r="57" ht="16.5" customHeight="1">
      <c r="A57" s="14" t="n">
        <v>26594914.75633334</v>
      </c>
      <c r="B57" s="14" t="n">
        <v>797847442.6900002</v>
      </c>
      <c r="C57" s="14" t="n">
        <v>26401713.80354838</v>
      </c>
      <c r="D57" s="14" t="n">
        <v>818453127.91</v>
      </c>
      <c r="E57" s="82" t="n">
        <v>27441273</v>
      </c>
      <c r="F57" s="82" t="n">
        <v>27441273</v>
      </c>
      <c r="G57" s="82" t="n">
        <v>32096371</v>
      </c>
      <c r="H57" s="82" t="n">
        <v>320963712</v>
      </c>
      <c r="I57" s="45" t="inlineStr">
        <is>
          <t>Total Billing</t>
        </is>
      </c>
      <c r="J57" s="14" t="n">
        <v>31424998</v>
      </c>
      <c r="K57" s="14" t="n">
        <v>25354372</v>
      </c>
      <c r="L57" s="14" t="n">
        <v>785985531</v>
      </c>
    </row>
    <row r="58" ht="15.75" customHeight="1">
      <c r="A58" s="10" t="n"/>
      <c r="B58" s="10" t="n"/>
      <c r="C58" s="10" t="n"/>
      <c r="D58" s="10" t="n"/>
      <c r="E58" s="83" t="n"/>
      <c r="F58" s="83" t="n"/>
      <c r="G58" s="83" t="n"/>
      <c r="H58" s="83" t="n"/>
      <c r="I58" s="46" t="n"/>
      <c r="J58" s="10" t="n"/>
      <c r="K58" s="10" t="n"/>
      <c r="L58" s="10" t="n"/>
    </row>
    <row r="59" ht="19.5" customHeight="1">
      <c r="A59" s="15" t="n"/>
      <c r="B59" s="15" t="n"/>
      <c r="C59" s="15" t="n"/>
      <c r="D59" s="15" t="n"/>
      <c r="E59" s="83" t="n"/>
      <c r="F59" s="83" t="n"/>
      <c r="G59" s="83" t="n"/>
      <c r="H59" s="83" t="n"/>
      <c r="I59" s="46" t="n"/>
      <c r="J59" s="15" t="n"/>
      <c r="K59" s="15" t="n"/>
      <c r="L59" s="15" t="n"/>
    </row>
    <row r="60" ht="16.5" customHeight="1">
      <c r="A60" s="16" t="n">
        <v>8167677.291333341</v>
      </c>
      <c r="B60" s="16" t="n">
        <v>245030318.7400002</v>
      </c>
      <c r="C60" s="16" t="n">
        <v>8148915.1151613</v>
      </c>
      <c r="D60" s="16" t="n">
        <v>252616368.5700003</v>
      </c>
      <c r="E60" s="85" t="n">
        <v>9667188</v>
      </c>
      <c r="F60" s="85" t="n">
        <v>9667188</v>
      </c>
      <c r="G60" s="85" t="n">
        <v>12702358</v>
      </c>
      <c r="H60" s="85" t="n">
        <v>127023584</v>
      </c>
      <c r="I60" s="48" t="inlineStr">
        <is>
          <t>AEPL Billing ( Collection thru' AIMS )</t>
        </is>
      </c>
      <c r="J60" s="16" t="n">
        <v>10510933</v>
      </c>
      <c r="K60" s="16" t="n">
        <v>7418339</v>
      </c>
      <c r="L60" s="16" t="n">
        <v>229968520</v>
      </c>
    </row>
    <row r="61" ht="16.5" customHeight="1">
      <c r="A61" s="10" t="n"/>
      <c r="B61" s="10" t="n"/>
      <c r="C61" s="10" t="n"/>
      <c r="D61" s="10" t="n"/>
      <c r="E61" s="81" t="n"/>
      <c r="F61" s="81" t="n"/>
      <c r="G61" s="81" t="n"/>
      <c r="H61" s="81" t="n"/>
      <c r="I61" s="44" t="n"/>
      <c r="J61" s="10" t="n"/>
      <c r="K61" s="10" t="n"/>
      <c r="L61" s="10" t="n"/>
    </row>
    <row r="62" ht="15.75" customHeight="1">
      <c r="A62" s="11" t="n"/>
      <c r="B62" s="11" t="n"/>
      <c r="C62" s="11" t="n"/>
      <c r="D62" s="11" t="n"/>
      <c r="E62" s="83" t="n"/>
      <c r="F62" s="83" t="n"/>
      <c r="G62" s="83" t="n"/>
      <c r="H62" s="83" t="n"/>
      <c r="I62" s="46" t="n"/>
      <c r="J62" s="11" t="n"/>
      <c r="K62" s="11" t="n"/>
      <c r="L62" s="11" t="n"/>
    </row>
    <row r="63" ht="16.5" customHeight="1">
      <c r="A63" s="14" t="n">
        <v>18427237.465</v>
      </c>
      <c r="B63" s="14" t="n">
        <v>552817123.9499999</v>
      </c>
      <c r="C63" s="14" t="n">
        <v>18252798.68838708</v>
      </c>
      <c r="D63" s="14" t="n">
        <v>565836759.3399997</v>
      </c>
      <c r="E63" s="82" t="n">
        <v>17774085</v>
      </c>
      <c r="F63" s="82" t="n">
        <v>17774085</v>
      </c>
      <c r="G63" s="82" t="n">
        <v>19394013</v>
      </c>
      <c r="H63" s="82" t="n">
        <v>193940128</v>
      </c>
      <c r="I63" s="45" t="inlineStr">
        <is>
          <t>Hospital Revenue (Net of AEPL)</t>
        </is>
      </c>
      <c r="J63" s="14">
        <f>J57-J60</f>
        <v/>
      </c>
      <c r="K63" s="14">
        <f>K57-K60</f>
        <v/>
      </c>
      <c r="L63" s="14">
        <f>L57-L60</f>
        <v/>
      </c>
    </row>
    <row r="64" ht="15.75" customHeight="1">
      <c r="E64" s="86" t="n"/>
      <c r="F64" s="86" t="n"/>
      <c r="G64" s="86" t="n"/>
      <c r="H64" s="86" t="n"/>
    </row>
    <row r="65" ht="15.75" customHeight="1">
      <c r="E65" s="86" t="n"/>
      <c r="F65" s="86" t="n"/>
      <c r="G65" s="86" t="n"/>
      <c r="H65" s="86" t="n"/>
    </row>
    <row r="66" ht="16.5" customHeight="1">
      <c r="A66" s="60" t="n"/>
      <c r="B66" s="60" t="n"/>
      <c r="C66" s="60" t="n"/>
      <c r="D66" s="60" t="n"/>
      <c r="E66" s="81" t="n"/>
      <c r="F66" s="81" t="n"/>
      <c r="G66" s="81" t="n"/>
      <c r="H66" s="81" t="n"/>
      <c r="I66" s="61" t="inlineStr">
        <is>
          <t>Collection (INR)</t>
        </is>
      </c>
      <c r="J66" s="60" t="n"/>
      <c r="K66" s="60" t="n"/>
      <c r="L66" s="60" t="n"/>
    </row>
    <row r="67" ht="15.75" customHeight="1">
      <c r="A67" s="62" t="n"/>
      <c r="B67" s="62" t="n"/>
      <c r="C67" s="62" t="n"/>
      <c r="D67" s="62" t="n"/>
      <c r="E67" s="72" t="n"/>
      <c r="F67" s="72" t="n"/>
      <c r="G67" s="72" t="n"/>
      <c r="H67" s="72" t="n"/>
      <c r="I67" s="63" t="inlineStr">
        <is>
          <t>Cash (including IP advances)</t>
        </is>
      </c>
      <c r="J67" s="62" t="n"/>
      <c r="K67" s="62" t="n">
        <v>5787811</v>
      </c>
      <c r="L67" s="62" t="n">
        <v>173634339</v>
      </c>
    </row>
    <row r="68" ht="15.75" customHeight="1">
      <c r="A68" s="62" t="n"/>
      <c r="B68" s="62" t="n"/>
      <c r="C68" s="62" t="n"/>
      <c r="D68" s="62" t="n"/>
      <c r="E68" s="72" t="n"/>
      <c r="F68" s="72" t="n"/>
      <c r="G68" s="72" t="n"/>
      <c r="H68" s="72" t="n"/>
      <c r="I68" s="63" t="inlineStr">
        <is>
          <t>Credit Card</t>
        </is>
      </c>
      <c r="J68" s="62" t="n"/>
      <c r="K68" s="62" t="n">
        <v>10760387</v>
      </c>
      <c r="L68" s="62" t="n">
        <v>322811622</v>
      </c>
    </row>
    <row r="69" ht="15.75" customHeight="1">
      <c r="A69" s="62" t="n"/>
      <c r="B69" s="62" t="n"/>
      <c r="C69" s="62" t="n"/>
      <c r="D69" s="62" t="n"/>
      <c r="E69" s="72" t="n"/>
      <c r="F69" s="72" t="n"/>
      <c r="G69" s="72" t="n"/>
      <c r="H69" s="72" t="n"/>
      <c r="I69" s="63" t="inlineStr">
        <is>
          <t>Bank</t>
        </is>
      </c>
      <c r="J69" s="62" t="n"/>
      <c r="K69" s="62" t="n">
        <v>18774984</v>
      </c>
      <c r="L69" s="62" t="n">
        <v>563249524</v>
      </c>
    </row>
    <row r="70" ht="15.75" customHeight="1">
      <c r="A70" s="62" t="n"/>
      <c r="B70" s="62" t="n"/>
      <c r="C70" s="62" t="n"/>
      <c r="D70" s="62" t="n"/>
      <c r="E70" s="72" t="n"/>
      <c r="F70" s="72" t="n"/>
      <c r="G70" s="72" t="n"/>
      <c r="H70" s="72" t="n"/>
      <c r="I70" s="63" t="inlineStr">
        <is>
          <t>Other Income( Bank Interest )</t>
        </is>
      </c>
      <c r="J70" s="62" t="n"/>
      <c r="K70" s="62" t="n">
        <v>400494</v>
      </c>
      <c r="L70" s="62" t="n">
        <v>12014830</v>
      </c>
    </row>
    <row r="71" ht="15.75" customHeight="1">
      <c r="A71" s="62" t="n"/>
      <c r="B71" s="62" t="n"/>
      <c r="C71" s="62" t="n"/>
      <c r="D71" s="62" t="n"/>
      <c r="E71" s="72" t="n"/>
      <c r="F71" s="72" t="n"/>
      <c r="G71" s="72" t="n"/>
      <c r="H71" s="72" t="n"/>
      <c r="I71" s="63" t="inlineStr">
        <is>
          <t>Less: Patients Refunds through Cash</t>
        </is>
      </c>
      <c r="J71" s="62" t="n"/>
      <c r="K71" s="62" t="n">
        <v>222898</v>
      </c>
      <c r="L71" s="62" t="n">
        <v>6686948</v>
      </c>
    </row>
    <row r="72" ht="15.75" customHeight="1">
      <c r="A72" s="62" t="n"/>
      <c r="B72" s="62" t="n"/>
      <c r="C72" s="62" t="n"/>
      <c r="D72" s="62" t="n"/>
      <c r="E72" s="72" t="n"/>
      <c r="F72" s="72" t="n"/>
      <c r="G72" s="72" t="n"/>
      <c r="H72" s="72" t="n"/>
      <c r="I72" s="63" t="inlineStr">
        <is>
          <t>Less: Patients Refunds through Bank</t>
        </is>
      </c>
      <c r="J72" s="62" t="n"/>
      <c r="K72" s="62" t="n">
        <v>1608722</v>
      </c>
      <c r="L72" s="62" t="n">
        <v>48261659</v>
      </c>
    </row>
    <row r="73" ht="16.5" customHeight="1" thickBot="1">
      <c r="A73" s="64" t="n"/>
      <c r="B73" s="64" t="n"/>
      <c r="C73" s="64" t="n"/>
      <c r="D73" s="64" t="n"/>
      <c r="E73" s="82" t="n"/>
      <c r="F73" s="82" t="n"/>
      <c r="G73" s="82" t="n"/>
      <c r="H73" s="82" t="n"/>
      <c r="I73" s="65" t="inlineStr">
        <is>
          <t>Total Collection</t>
        </is>
      </c>
      <c r="J73" s="64" t="n"/>
      <c r="K73" s="64" t="n">
        <v>33892057</v>
      </c>
      <c r="L73" s="64" t="n">
        <v>1016761708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2026-10-09T04:00:51Z</dcterms:modified>
</cp:coreProperties>
</file>